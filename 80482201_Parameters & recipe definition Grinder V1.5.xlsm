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80482201 Next Level Coffee machine\Software\"/>
    </mc:Choice>
  </mc:AlternateContent>
  <xr:revisionPtr revIDLastSave="0" documentId="8_{4F2BE1ED-A549-427B-92AC-28F9E8A53951}" xr6:coauthVersionLast="47" xr6:coauthVersionMax="47" xr10:uidLastSave="{00000000-0000-0000-0000-000000000000}"/>
  <bookViews>
    <workbookView xWindow="32250" yWindow="2055" windowWidth="21660" windowHeight="11415" xr2:uid="{32E554E5-91D5-4CD2-AC39-681087B5FD05}"/>
  </bookViews>
  <sheets>
    <sheet name="Revisions" sheetId="5" r:id="rId1"/>
    <sheet name="parameters recipe" sheetId="6" r:id="rId2"/>
    <sheet name="ProcessData" sheetId="4" r:id="rId3"/>
    <sheet name="PhysicalData" sheetId="3" r:id="rId4"/>
    <sheet name="DeviceData" sheetId="1" r:id="rId5"/>
    <sheet name="STATUS enum" sheetId="12" r:id="rId6"/>
    <sheet name="AllData" sheetId="8" r:id="rId7"/>
    <sheet name="DummyModeData" sheetId="14" r:id="rId8"/>
    <sheet name="DosingData" sheetId="15" r:id="rId9"/>
    <sheet name="ConsumableData" sheetId="2" r:id="rId10"/>
    <sheet name="RECIPESTATUS enum" sheetId="13" r:id="rId11"/>
    <sheet name="HOPPERSTATUS enum" sheetId="10" r:id="rId12"/>
    <sheet name="parameters LED" sheetId="11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5" l="1"/>
  <c r="F5" i="15"/>
  <c r="D4" i="15"/>
  <c r="C4" i="15"/>
  <c r="F7" i="14"/>
  <c r="F8" i="14"/>
  <c r="F6" i="14"/>
  <c r="F5" i="14"/>
  <c r="D4" i="14"/>
  <c r="C4" i="14"/>
  <c r="F5" i="2" l="1"/>
  <c r="C6" i="2"/>
  <c r="F30" i="8"/>
  <c r="F29" i="8"/>
  <c r="F28" i="8"/>
  <c r="F27" i="8"/>
  <c r="F26" i="8"/>
  <c r="F25" i="8"/>
  <c r="F24" i="8"/>
  <c r="F23" i="8"/>
  <c r="I16" i="8"/>
  <c r="I17" i="8" s="1"/>
  <c r="I18" i="8" s="1"/>
  <c r="I19" i="8" s="1"/>
  <c r="I20" i="8" s="1"/>
  <c r="I21" i="8" s="1"/>
  <c r="I22" i="8" s="1"/>
  <c r="F15" i="8"/>
  <c r="F14" i="8"/>
  <c r="F13" i="8"/>
  <c r="F12" i="8"/>
  <c r="F11" i="8"/>
  <c r="F10" i="8"/>
  <c r="F9" i="8"/>
  <c r="F8" i="8"/>
  <c r="F7" i="8"/>
  <c r="F6" i="8"/>
  <c r="F5" i="8"/>
  <c r="F7" i="3"/>
  <c r="F9" i="4"/>
  <c r="F14" i="4"/>
  <c r="F13" i="4"/>
  <c r="F11" i="4"/>
  <c r="F12" i="4"/>
  <c r="F8" i="4"/>
  <c r="F7" i="4"/>
  <c r="D4" i="8" l="1"/>
  <c r="C4" i="8"/>
  <c r="F12" i="6"/>
  <c r="F7" i="6" l="1"/>
  <c r="C7" i="6"/>
  <c r="F6" i="6"/>
  <c r="F5" i="6"/>
  <c r="D4" i="6"/>
  <c r="C4" i="6" l="1"/>
  <c r="C4" i="4"/>
  <c r="D4" i="4"/>
  <c r="F5" i="4"/>
  <c r="F6" i="4"/>
  <c r="F10" i="4"/>
  <c r="F15" i="4"/>
  <c r="I16" i="4"/>
  <c r="I17" i="4" s="1"/>
  <c r="I18" i="4" s="1"/>
  <c r="I19" i="4" s="1"/>
  <c r="I20" i="4" s="1"/>
  <c r="I21" i="4" s="1"/>
  <c r="I22" i="4" s="1"/>
  <c r="C4" i="3"/>
  <c r="D4" i="3"/>
  <c r="F5" i="3"/>
  <c r="F6" i="3"/>
  <c r="C4" i="2"/>
  <c r="D6" i="2"/>
  <c r="D4" i="2" s="1"/>
  <c r="F7" i="2"/>
  <c r="F10" i="1"/>
  <c r="F9" i="1"/>
  <c r="F8" i="1"/>
  <c r="F7" i="1"/>
  <c r="F6" i="1"/>
  <c r="F5" i="1"/>
  <c r="D4" i="1"/>
  <c r="C4" i="1"/>
</calcChain>
</file>

<file path=xl/sharedStrings.xml><?xml version="1.0" encoding="utf-8"?>
<sst xmlns="http://schemas.openxmlformats.org/spreadsheetml/2006/main" count="871" uniqueCount="159">
  <si>
    <t>Device info parameters for coffee machine AND grinder</t>
  </si>
  <si>
    <t>All data is defined in 2 bytes (4 positions in the UART HEX string)</t>
  </si>
  <si>
    <t>Item</t>
    <phoneticPr fontId="0" type="noConversion"/>
  </si>
  <si>
    <t>Bytes</t>
  </si>
  <si>
    <t>HEX</t>
  </si>
  <si>
    <t>Min</t>
    <phoneticPr fontId="0" type="noConversion"/>
  </si>
  <si>
    <t>Max</t>
    <phoneticPr fontId="0" type="noConversion"/>
  </si>
  <si>
    <t>Unit</t>
    <phoneticPr fontId="0" type="noConversion"/>
  </si>
  <si>
    <t>Description</t>
    <phoneticPr fontId="0" type="noConversion"/>
  </si>
  <si>
    <t>Value</t>
  </si>
  <si>
    <t>Remark</t>
    <phoneticPr fontId="0" type="noConversion"/>
  </si>
  <si>
    <t>Total bytes 1 block</t>
  </si>
  <si>
    <t>Serial number MSB</t>
  </si>
  <si>
    <t>-</t>
  </si>
  <si>
    <t>Serial number = MSB * 65536 + LSB</t>
  </si>
  <si>
    <t>Serial number LSB</t>
  </si>
  <si>
    <t>Hardware version</t>
  </si>
  <si>
    <t>0-15</t>
  </si>
  <si>
    <t>Software version</t>
  </si>
  <si>
    <t>Major version</t>
  </si>
  <si>
    <t>Minor version</t>
  </si>
  <si>
    <t>Bugfix</t>
  </si>
  <si>
    <t>Note:</t>
  </si>
  <si>
    <t>Encrypted</t>
  </si>
  <si>
    <t>Data199</t>
  </si>
  <si>
    <t>um</t>
  </si>
  <si>
    <t>Data0</t>
  </si>
  <si>
    <t>Consumable info is basically the raw data of the tag.</t>
  </si>
  <si>
    <t>No sensor available</t>
  </si>
  <si>
    <t>Grinder motor temperature</t>
  </si>
  <si>
    <t>°C</t>
  </si>
  <si>
    <t>Motor temperature</t>
  </si>
  <si>
    <t>Burr temperature</t>
  </si>
  <si>
    <t>Mill temperature</t>
  </si>
  <si>
    <t>Status</t>
  </si>
  <si>
    <t>Physical info parameter for the grinder</t>
  </si>
  <si>
    <t>Note: this is bit status</t>
  </si>
  <si>
    <t>Why is this needed?</t>
  </si>
  <si>
    <t>Mill in home position</t>
  </si>
  <si>
    <t>Sensor information</t>
  </si>
  <si>
    <t>Sensors</t>
  </si>
  <si>
    <t>UNDEFINED</t>
  </si>
  <si>
    <t>GrinderStatus</t>
  </si>
  <si>
    <t>HopperStatus</t>
  </si>
  <si>
    <t>Filter status</t>
  </si>
  <si>
    <t>FilterSlideStatus</t>
  </si>
  <si>
    <t>FilterStatus</t>
  </si>
  <si>
    <t>Grind size of the particles</t>
  </si>
  <si>
    <t>GrindSize</t>
  </si>
  <si>
    <t>x0.1 g</t>
  </si>
  <si>
    <t>Weight</t>
  </si>
  <si>
    <t>Process info parameters grinder</t>
  </si>
  <si>
    <t>Version</t>
  </si>
  <si>
    <t>When</t>
  </si>
  <si>
    <t>Who</t>
  </si>
  <si>
    <t>Revision</t>
  </si>
  <si>
    <t>V1.0</t>
  </si>
  <si>
    <t>RAW</t>
  </si>
  <si>
    <t xml:space="preserve">RAW </t>
  </si>
  <si>
    <t>Rene Weimar</t>
  </si>
  <si>
    <t>First draft</t>
  </si>
  <si>
    <t>Recipe parameter definition</t>
  </si>
  <si>
    <t>All data is defined in 1 or 2 bytes (2 or 4 positions in the UART HEX string)</t>
  </si>
  <si>
    <t>Item</t>
    <phoneticPr fontId="1" type="noConversion"/>
  </si>
  <si>
    <t>Min</t>
    <phoneticPr fontId="1" type="noConversion"/>
  </si>
  <si>
    <t>Max</t>
    <phoneticPr fontId="1" type="noConversion"/>
  </si>
  <si>
    <t>Unit</t>
    <phoneticPr fontId="1" type="noConversion"/>
  </si>
  <si>
    <t>Description</t>
    <phoneticPr fontId="1" type="noConversion"/>
  </si>
  <si>
    <t>Remark</t>
    <phoneticPr fontId="1" type="noConversion"/>
  </si>
  <si>
    <t>GrindWeight</t>
  </si>
  <si>
    <t>x 0.1 g</t>
  </si>
  <si>
    <t>Weight to be ground</t>
  </si>
  <si>
    <t>Size of the grind</t>
  </si>
  <si>
    <t>FilterType</t>
  </si>
  <si>
    <t>Type of filter needed</t>
  </si>
  <si>
    <t>No filter needed</t>
  </si>
  <si>
    <t>Filter 1 needed</t>
  </si>
  <si>
    <t>Filter 2 needed</t>
  </si>
  <si>
    <t>Filter 3 needed</t>
  </si>
  <si>
    <t>Filter 4 needed</t>
  </si>
  <si>
    <t>ms</t>
  </si>
  <si>
    <t>V1.1</t>
  </si>
  <si>
    <t>Added grinder recipe parameters and LED parameters</t>
  </si>
  <si>
    <t>ShutterTime</t>
  </si>
  <si>
    <t>Shutter opening time</t>
  </si>
  <si>
    <t>V1.2</t>
  </si>
  <si>
    <t>Removed FilterType parameter 5. Added shutter time parameter</t>
  </si>
  <si>
    <t>All data is ProcessData+PhysicalData+DeviceData</t>
  </si>
  <si>
    <t>Press Generate to generate the list from the other tabs</t>
  </si>
  <si>
    <t>Filter type</t>
  </si>
  <si>
    <t>0 = No filter, 1 - 4 = Filter 1 to Filter 4</t>
  </si>
  <si>
    <t>NOTPLACED</t>
  </si>
  <si>
    <t>MachineMainStatus</t>
  </si>
  <si>
    <t>Machine main status</t>
  </si>
  <si>
    <t>Various</t>
  </si>
  <si>
    <t>See STATUS enum definition</t>
  </si>
  <si>
    <t>MachineSubStatus</t>
  </si>
  <si>
    <t>Machine sub status</t>
  </si>
  <si>
    <t>RecipeStatus</t>
  </si>
  <si>
    <t>See RECIPESTATUS enum definition</t>
  </si>
  <si>
    <t>=</t>
  </si>
  <si>
    <t>,</t>
  </si>
  <si>
    <t>INITIALIZE</t>
  </si>
  <si>
    <t>see "Parameters &amp; recipe definitions coffee machine Vx.x</t>
  </si>
  <si>
    <t>See HOPPERSTATUS enum definition</t>
  </si>
  <si>
    <t>PLACEDCLOSED</t>
  </si>
  <si>
    <t>PLACEDDUMPPOSITION</t>
  </si>
  <si>
    <t>PLACEDDOSEPOSITION</t>
  </si>
  <si>
    <t>Hopper status</t>
  </si>
  <si>
    <t>Recipe status</t>
  </si>
  <si>
    <t>Grinder status</t>
  </si>
  <si>
    <t>ScaleStatus</t>
  </si>
  <si>
    <t>Scale status</t>
  </si>
  <si>
    <t>various</t>
  </si>
  <si>
    <t>Required weight of the coffee grind</t>
  </si>
  <si>
    <t>Measured weight of the coffee grind</t>
  </si>
  <si>
    <t>Data 1 - Data 198</t>
  </si>
  <si>
    <t>All bytes are encrypted. The grinder cannot decrypt and therefore cannot work standalone as suggested by Marius.</t>
  </si>
  <si>
    <t>V1.3</t>
  </si>
  <si>
    <t>Changed Process data. Added All Data. Change consumable data. Added HOPPERSTATUS enum</t>
  </si>
  <si>
    <t>DUMMYMODE</t>
  </si>
  <si>
    <t>DUMMYMODEFILTER</t>
  </si>
  <si>
    <t>Dummymode general</t>
  </si>
  <si>
    <t>Dummy mode filter detection</t>
  </si>
  <si>
    <t>DUMMYMODERFID</t>
  </si>
  <si>
    <t>Dummy mode RFID</t>
  </si>
  <si>
    <t>0 = off, 1 = Allow operation without (working) HAL PCBA</t>
  </si>
  <si>
    <t>0 = off, 1 = Allow operation without hardware</t>
  </si>
  <si>
    <t>0 = off, 1 = Allow operation without (working) RFID</t>
  </si>
  <si>
    <t>DUMMYMODESCALE</t>
  </si>
  <si>
    <t>Dummy mode scale</t>
  </si>
  <si>
    <t>0 = off, 1 = Allow operation without (working) scale</t>
  </si>
  <si>
    <t>Dummymode settings for grinder</t>
  </si>
  <si>
    <t>TimeMin</t>
  </si>
  <si>
    <t>Minimum opening time hopper</t>
  </si>
  <si>
    <t>Too low value will cause no beans to be dropped</t>
  </si>
  <si>
    <t>TimeMax</t>
  </si>
  <si>
    <t>Maximum opening time hopper</t>
  </si>
  <si>
    <t>Limit to opening time, in order to avoid all beans dropped</t>
  </si>
  <si>
    <t>DumpAngle</t>
  </si>
  <si>
    <t>Opening angle for first dump</t>
  </si>
  <si>
    <t>0 = fully open, 45 is half open, 90 is closed!!!!</t>
  </si>
  <si>
    <t>DoseAngle</t>
  </si>
  <si>
    <t>Opening angle for fine dosing</t>
  </si>
  <si>
    <t>DosingStepsMax</t>
  </si>
  <si>
    <t>Max number of tries to reach the weight</t>
  </si>
  <si>
    <t>0 = No fine dosing</t>
  </si>
  <si>
    <t>ScaleStableTime</t>
  </si>
  <si>
    <t>Time to wait before doing measurement</t>
  </si>
  <si>
    <t>degrees</t>
  </si>
  <si>
    <t>Pulses</t>
  </si>
  <si>
    <t>ClosedPulseTime</t>
  </si>
  <si>
    <t>Number of pulses to reach 180 degrees</t>
  </si>
  <si>
    <t>OpenedPulseTime</t>
  </si>
  <si>
    <t>Number of pulses to reach 0 degrees</t>
  </si>
  <si>
    <t>V1.4</t>
  </si>
  <si>
    <t>Added parameters for dosing</t>
  </si>
  <si>
    <t>V1.5</t>
  </si>
  <si>
    <t>Added timing parameters for servo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</si>
</sst>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4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8"/>
      <name val="Calibri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2" xfId="0" quotePrefix="1" applyFont="1" applyBorder="1">
      <alignment vertical="center"/>
    </xf>
    <xf numFmtId="0" fontId="1" fillId="0" borderId="2" xfId="0" applyFont="1" applyBorder="1">
      <alignment vertical="center"/>
    </xf>
    <xf numFmtId="0" fontId="1" fillId="0" borderId="3" xfId="0" applyFont="1" applyBorder="1" applyAlignment="1">
      <alignment horizontal="center" vertical="center"/>
    </xf>
    <xf numFmtId="16" fontId="1" fillId="0" borderId="3" xfId="0" quotePrefix="1" applyNumberFormat="1" applyFont="1" applyBorder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1" fillId="0" borderId="4" xfId="0" quotePrefix="1" applyFont="1" applyBorder="1">
      <alignment vertical="center"/>
    </xf>
    <xf numFmtId="0" fontId="1" fillId="0" borderId="4" xfId="0" applyFont="1" applyBorder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>
      <alignment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1" fillId="0" borderId="9" xfId="0" quotePrefix="1" applyFont="1" applyBorder="1">
      <alignment vertical="center"/>
    </xf>
    <xf numFmtId="0" fontId="1" fillId="0" borderId="9" xfId="0" applyFont="1" applyBorder="1">
      <alignment vertical="center"/>
    </xf>
    <xf numFmtId="16" fontId="1" fillId="0" borderId="9" xfId="0" quotePrefix="1" applyNumberFormat="1" applyFont="1" applyBorder="1">
      <alignment vertical="center"/>
    </xf>
    <xf numFmtId="0" fontId="1" fillId="0" borderId="9" xfId="0" applyFont="1" applyBorder="1" applyAlignment="1">
      <alignment horizontal="left" vertical="center"/>
    </xf>
    <xf numFmtId="16" fontId="1" fillId="0" borderId="4" xfId="0" quotePrefix="1" applyNumberFormat="1" applyFont="1" applyBorder="1">
      <alignment vertical="center"/>
    </xf>
    <xf numFmtId="0" fontId="1" fillId="0" borderId="4" xfId="0" quotePrefix="1" applyFont="1" applyBorder="1" applyAlignment="1">
      <alignment horizontal="center" vertical="center"/>
    </xf>
    <xf numFmtId="16" fontId="1" fillId="0" borderId="2" xfId="0" quotePrefix="1" applyNumberFormat="1" applyFont="1" applyBorder="1">
      <alignment vertical="center"/>
    </xf>
    <xf numFmtId="0" fontId="1" fillId="0" borderId="8" xfId="0" applyFont="1" applyBorder="1">
      <alignment vertical="center"/>
    </xf>
    <xf numFmtId="0" fontId="1" fillId="0" borderId="8" xfId="0" quotePrefix="1" applyFont="1" applyBorder="1">
      <alignment vertical="center"/>
    </xf>
    <xf numFmtId="0" fontId="1" fillId="0" borderId="7" xfId="0" applyFont="1" applyBorder="1">
      <alignment vertical="center"/>
    </xf>
    <xf numFmtId="0" fontId="1" fillId="0" borderId="7" xfId="0" quotePrefix="1" applyFont="1" applyBorder="1">
      <alignment vertical="center"/>
    </xf>
    <xf numFmtId="0" fontId="1" fillId="0" borderId="6" xfId="0" applyFont="1" applyBorder="1">
      <alignment vertical="center"/>
    </xf>
    <xf numFmtId="0" fontId="1" fillId="0" borderId="6" xfId="0" quotePrefix="1" applyFont="1" applyBorder="1">
      <alignment vertical="center"/>
    </xf>
    <xf numFmtId="0" fontId="1" fillId="0" borderId="5" xfId="0" quotePrefix="1" applyFont="1" applyBorder="1">
      <alignment vertical="center"/>
    </xf>
    <xf numFmtId="0" fontId="1" fillId="0" borderId="5" xfId="0" applyFon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quotePrefix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0</xdr:row>
          <xdr:rowOff>38100</xdr:rowOff>
        </xdr:from>
        <xdr:to>
          <xdr:col>7</xdr:col>
          <xdr:colOff>1885950</xdr:colOff>
          <xdr:row>1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E143E-42A2-4977-A0DC-3553093A3327}">
  <sheetPr codeName="Sheet1"/>
  <dimension ref="A1:D30"/>
  <sheetViews>
    <sheetView showGridLines="0" tabSelected="1" workbookViewId="0">
      <selection activeCell="D7" sqref="D7"/>
    </sheetView>
  </sheetViews>
  <sheetFormatPr defaultRowHeight="15"/>
  <cols>
    <col min="1" max="1" width="9.140625" style="55"/>
    <col min="2" max="2" width="13.5703125" style="56" customWidth="1"/>
    <col min="3" max="3" width="9.140625" style="55"/>
    <col min="4" max="4" width="62" style="57" customWidth="1"/>
  </cols>
  <sheetData>
    <row r="1" spans="1:4">
      <c r="A1" s="42" t="s">
        <v>52</v>
      </c>
      <c r="B1" s="43" t="s">
        <v>53</v>
      </c>
      <c r="C1" s="42" t="s">
        <v>54</v>
      </c>
      <c r="D1" s="44" t="s">
        <v>55</v>
      </c>
    </row>
    <row r="2" spans="1:4">
      <c r="A2" s="45" t="s">
        <v>56</v>
      </c>
      <c r="B2" s="46">
        <v>44741</v>
      </c>
      <c r="C2" s="45" t="s">
        <v>57</v>
      </c>
      <c r="D2" s="47" t="s">
        <v>60</v>
      </c>
    </row>
    <row r="3" spans="1:4">
      <c r="A3" s="48" t="s">
        <v>81</v>
      </c>
      <c r="B3" s="49">
        <v>44742</v>
      </c>
      <c r="C3" s="48" t="s">
        <v>57</v>
      </c>
      <c r="D3" s="50" t="s">
        <v>82</v>
      </c>
    </row>
    <row r="4" spans="1:4">
      <c r="A4" s="48" t="s">
        <v>85</v>
      </c>
      <c r="B4" s="49">
        <v>44749</v>
      </c>
      <c r="C4" s="48" t="s">
        <v>57</v>
      </c>
      <c r="D4" s="51" t="s">
        <v>86</v>
      </c>
    </row>
    <row r="5" spans="1:4" ht="30">
      <c r="A5" s="48" t="s">
        <v>118</v>
      </c>
      <c r="B5" s="49">
        <v>44762</v>
      </c>
      <c r="C5" s="48" t="s">
        <v>57</v>
      </c>
      <c r="D5" s="50" t="s">
        <v>119</v>
      </c>
    </row>
    <row r="6" spans="1:4">
      <c r="A6" s="48" t="s">
        <v>155</v>
      </c>
      <c r="B6" s="49">
        <v>44854</v>
      </c>
      <c r="C6" s="48" t="s">
        <v>57</v>
      </c>
      <c r="D6" s="51" t="s">
        <v>156</v>
      </c>
    </row>
    <row r="7" spans="1:4">
      <c r="A7" s="48" t="s">
        <v>157</v>
      </c>
      <c r="B7" s="49">
        <v>44931</v>
      </c>
      <c r="C7" s="48" t="s">
        <v>57</v>
      </c>
      <c r="D7" s="51" t="s">
        <v>158</v>
      </c>
    </row>
    <row r="8" spans="1:4">
      <c r="A8" s="48"/>
      <c r="B8" s="49"/>
      <c r="C8" s="48"/>
      <c r="D8" s="51"/>
    </row>
    <row r="9" spans="1:4">
      <c r="A9" s="48"/>
      <c r="B9" s="49"/>
      <c r="C9" s="48"/>
      <c r="D9" s="51"/>
    </row>
    <row r="10" spans="1:4">
      <c r="A10" s="48"/>
      <c r="B10" s="49"/>
      <c r="C10" s="48"/>
      <c r="D10" s="51"/>
    </row>
    <row r="11" spans="1:4">
      <c r="A11" s="48"/>
      <c r="B11" s="49"/>
      <c r="C11" s="48"/>
      <c r="D11" s="51"/>
    </row>
    <row r="12" spans="1:4">
      <c r="A12" s="48"/>
      <c r="B12" s="49"/>
      <c r="C12" s="48"/>
      <c r="D12" s="51"/>
    </row>
    <row r="13" spans="1:4">
      <c r="A13" s="48"/>
      <c r="B13" s="49"/>
      <c r="C13" s="48"/>
      <c r="D13" s="51"/>
    </row>
    <row r="14" spans="1:4">
      <c r="A14" s="48"/>
      <c r="B14" s="49"/>
      <c r="C14" s="48"/>
      <c r="D14" s="51"/>
    </row>
    <row r="15" spans="1:4">
      <c r="A15" s="48"/>
      <c r="B15" s="49"/>
      <c r="C15" s="48"/>
      <c r="D15" s="51"/>
    </row>
    <row r="16" spans="1:4">
      <c r="A16" s="48"/>
      <c r="B16" s="49"/>
      <c r="C16" s="48"/>
      <c r="D16" s="51"/>
    </row>
    <row r="17" spans="1:4">
      <c r="A17" s="48"/>
      <c r="B17" s="49"/>
      <c r="C17" s="48"/>
      <c r="D17" s="51"/>
    </row>
    <row r="18" spans="1:4">
      <c r="A18" s="48"/>
      <c r="B18" s="49"/>
      <c r="C18" s="48"/>
      <c r="D18" s="51"/>
    </row>
    <row r="19" spans="1:4">
      <c r="A19" s="48"/>
      <c r="B19" s="49"/>
      <c r="C19" s="48"/>
      <c r="D19" s="51"/>
    </row>
    <row r="20" spans="1:4">
      <c r="A20" s="48"/>
      <c r="B20" s="49"/>
      <c r="C20" s="48"/>
      <c r="D20" s="51"/>
    </row>
    <row r="21" spans="1:4">
      <c r="A21" s="48"/>
      <c r="B21" s="49"/>
      <c r="C21" s="48"/>
      <c r="D21" s="51"/>
    </row>
    <row r="22" spans="1:4">
      <c r="A22" s="48"/>
      <c r="B22" s="49"/>
      <c r="C22" s="48"/>
      <c r="D22" s="51"/>
    </row>
    <row r="23" spans="1:4">
      <c r="A23" s="48"/>
      <c r="B23" s="49"/>
      <c r="C23" s="48"/>
      <c r="D23" s="51"/>
    </row>
    <row r="24" spans="1:4">
      <c r="A24" s="48"/>
      <c r="B24" s="49"/>
      <c r="C24" s="48"/>
      <c r="D24" s="51"/>
    </row>
    <row r="25" spans="1:4">
      <c r="A25" s="48"/>
      <c r="B25" s="49"/>
      <c r="C25" s="48"/>
      <c r="D25" s="51"/>
    </row>
    <row r="26" spans="1:4">
      <c r="A26" s="48"/>
      <c r="B26" s="49"/>
      <c r="C26" s="48"/>
      <c r="D26" s="51"/>
    </row>
    <row r="27" spans="1:4">
      <c r="A27" s="52"/>
      <c r="B27" s="53"/>
      <c r="C27" s="52"/>
      <c r="D27" s="54"/>
    </row>
    <row r="30" spans="1:4">
      <c r="A30" s="55" t="s">
        <v>58</v>
      </c>
      <c r="B30" s="56" t="s">
        <v>59</v>
      </c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C9BEF-FA3A-4FCF-BC9A-82CC3F4EBECF}">
  <sheetPr codeName="Sheet2"/>
  <dimension ref="A1:J12"/>
  <sheetViews>
    <sheetView showGridLines="0" zoomScale="85" zoomScaleNormal="85" workbookViewId="0">
      <selection activeCell="G25" sqref="G25"/>
    </sheetView>
  </sheetViews>
  <sheetFormatPr defaultColWidth="9" defaultRowHeight="15"/>
  <cols>
    <col min="1" max="1" width="9" style="2"/>
    <col min="2" max="2" width="19.28515625" style="2" customWidth="1"/>
    <col min="3" max="3" width="7.7109375" style="2" bestFit="1" customWidth="1"/>
    <col min="4" max="4" width="5.7109375" style="2" bestFit="1" customWidth="1"/>
    <col min="5" max="6" width="9" style="2"/>
    <col min="7" max="7" width="9" style="3"/>
    <col min="8" max="8" width="28.85546875" style="3" bestFit="1" customWidth="1"/>
    <col min="9" max="9" width="7.7109375" style="2" bestFit="1" customWidth="1"/>
    <col min="10" max="10" width="55.28515625" style="3" bestFit="1" customWidth="1"/>
    <col min="11" max="11" width="73.140625" style="3" bestFit="1" customWidth="1"/>
    <col min="12" max="16384" width="9" style="3"/>
  </cols>
  <sheetData>
    <row r="1" spans="1:10">
      <c r="A1" s="1" t="s">
        <v>61</v>
      </c>
    </row>
    <row r="2" spans="1:10">
      <c r="A2" s="1" t="s">
        <v>62</v>
      </c>
    </row>
    <row r="3" spans="1:10" ht="18.75">
      <c r="A3" s="4"/>
      <c r="B3" s="4" t="s">
        <v>63</v>
      </c>
      <c r="C3" s="4" t="s">
        <v>3</v>
      </c>
      <c r="D3" s="4" t="s">
        <v>4</v>
      </c>
      <c r="E3" s="4" t="s">
        <v>64</v>
      </c>
      <c r="F3" s="4" t="s">
        <v>65</v>
      </c>
      <c r="G3" s="5" t="s">
        <v>66</v>
      </c>
      <c r="H3" s="5" t="s">
        <v>67</v>
      </c>
      <c r="I3" s="4" t="s">
        <v>9</v>
      </c>
      <c r="J3" s="5" t="s">
        <v>68</v>
      </c>
    </row>
    <row r="4" spans="1:10">
      <c r="A4" s="6"/>
      <c r="B4" s="6"/>
      <c r="C4" s="6">
        <f>SUM(C5:C14)</f>
        <v>6</v>
      </c>
      <c r="D4" s="6">
        <f>SUM(D5:D14)</f>
        <v>12</v>
      </c>
      <c r="E4" s="6"/>
      <c r="F4" s="6"/>
      <c r="G4" s="7"/>
      <c r="H4" s="7" t="s">
        <v>11</v>
      </c>
      <c r="I4" s="6"/>
      <c r="J4" s="7"/>
    </row>
    <row r="5" spans="1:10">
      <c r="A5" s="8">
        <v>0</v>
      </c>
      <c r="B5" s="9" t="s">
        <v>69</v>
      </c>
      <c r="C5" s="8">
        <v>1</v>
      </c>
      <c r="D5" s="8">
        <v>2</v>
      </c>
      <c r="E5" s="8">
        <v>0</v>
      </c>
      <c r="F5" s="8">
        <f t="shared" ref="F5:F7" si="0">16^D5-1</f>
        <v>255</v>
      </c>
      <c r="G5" s="11" t="s">
        <v>70</v>
      </c>
      <c r="H5" s="11" t="s">
        <v>71</v>
      </c>
      <c r="I5" s="8"/>
      <c r="J5" s="11"/>
    </row>
    <row r="6" spans="1:10">
      <c r="A6" s="14">
        <v>1</v>
      </c>
      <c r="B6" s="15" t="s">
        <v>48</v>
      </c>
      <c r="C6" s="14">
        <v>2</v>
      </c>
      <c r="D6" s="14">
        <v>4</v>
      </c>
      <c r="E6" s="14">
        <v>0</v>
      </c>
      <c r="F6" s="14">
        <f t="shared" si="0"/>
        <v>65535</v>
      </c>
      <c r="G6" s="17" t="s">
        <v>25</v>
      </c>
      <c r="H6" s="17" t="s">
        <v>72</v>
      </c>
      <c r="I6" s="14"/>
      <c r="J6" s="17"/>
    </row>
    <row r="7" spans="1:10">
      <c r="A7" s="20">
        <v>2</v>
      </c>
      <c r="B7" s="21" t="s">
        <v>73</v>
      </c>
      <c r="C7" s="20">
        <f t="shared" ref="C7" si="1">D7/2</f>
        <v>1</v>
      </c>
      <c r="D7" s="20">
        <v>2</v>
      </c>
      <c r="E7" s="20">
        <v>0</v>
      </c>
      <c r="F7" s="20">
        <f t="shared" si="0"/>
        <v>255</v>
      </c>
      <c r="G7" s="39" t="s">
        <v>13</v>
      </c>
      <c r="H7" s="38" t="s">
        <v>74</v>
      </c>
      <c r="I7" s="14">
        <v>0</v>
      </c>
      <c r="J7" s="17" t="s">
        <v>75</v>
      </c>
    </row>
    <row r="8" spans="1:10">
      <c r="A8" s="22"/>
      <c r="B8" s="23"/>
      <c r="C8" s="22"/>
      <c r="D8" s="22"/>
      <c r="E8" s="22"/>
      <c r="F8" s="22"/>
      <c r="G8" s="37"/>
      <c r="H8" s="36"/>
      <c r="I8" s="14">
        <v>1</v>
      </c>
      <c r="J8" s="17" t="s">
        <v>76</v>
      </c>
    </row>
    <row r="9" spans="1:10">
      <c r="A9" s="22"/>
      <c r="B9" s="23"/>
      <c r="C9" s="22"/>
      <c r="D9" s="22"/>
      <c r="E9" s="22"/>
      <c r="F9" s="22"/>
      <c r="G9" s="37"/>
      <c r="H9" s="36"/>
      <c r="I9" s="14">
        <v>2</v>
      </c>
      <c r="J9" s="17" t="s">
        <v>77</v>
      </c>
    </row>
    <row r="10" spans="1:10">
      <c r="A10" s="22"/>
      <c r="B10" s="23"/>
      <c r="C10" s="22"/>
      <c r="D10" s="22"/>
      <c r="E10" s="22"/>
      <c r="F10" s="22"/>
      <c r="G10" s="37"/>
      <c r="H10" s="36"/>
      <c r="I10" s="14">
        <v>3</v>
      </c>
      <c r="J10" s="17" t="s">
        <v>78</v>
      </c>
    </row>
    <row r="11" spans="1:10">
      <c r="A11" s="18"/>
      <c r="B11" s="41"/>
      <c r="C11" s="18"/>
      <c r="D11" s="18"/>
      <c r="E11" s="18"/>
      <c r="F11" s="18"/>
      <c r="G11" s="40"/>
      <c r="H11" s="19"/>
      <c r="I11" s="14">
        <v>4</v>
      </c>
      <c r="J11" s="17" t="s">
        <v>79</v>
      </c>
    </row>
    <row r="12" spans="1:10">
      <c r="A12" s="26">
        <v>3</v>
      </c>
      <c r="B12" s="30" t="s">
        <v>83</v>
      </c>
      <c r="C12" s="26">
        <v>2</v>
      </c>
      <c r="D12" s="26">
        <v>4</v>
      </c>
      <c r="E12" s="26">
        <v>0</v>
      </c>
      <c r="F12" s="26">
        <f t="shared" ref="F12" si="2">16^D12-1</f>
        <v>65535</v>
      </c>
      <c r="G12" s="28" t="s">
        <v>80</v>
      </c>
      <c r="H12" s="28" t="s">
        <v>84</v>
      </c>
      <c r="I12" s="26"/>
      <c r="J12" s="28"/>
    </row>
  </sheetData>
  <sheetProtection selectLockedCells="1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2030D-079D-46B2-9E6B-B3223765B75D}">
  <sheetPr codeName="Sheet16"/>
  <dimension ref="A1:K22"/>
  <sheetViews>
    <sheetView showGridLines="0" zoomScale="115" zoomScaleNormal="115" workbookViewId="0">
      <selection activeCell="B24" sqref="B24"/>
    </sheetView>
  </sheetViews>
  <sheetFormatPr defaultColWidth="9" defaultRowHeight="15"/>
  <cols>
    <col min="1" max="1" width="4.42578125" style="2" customWidth="1"/>
    <col min="2" max="2" width="20.5703125" style="2" bestFit="1" customWidth="1"/>
    <col min="3" max="3" width="7.7109375" style="2" bestFit="1" customWidth="1"/>
    <col min="4" max="4" width="5.7109375" style="2" bestFit="1" customWidth="1"/>
    <col min="5" max="5" width="5.85546875" style="2" bestFit="1" customWidth="1"/>
    <col min="6" max="6" width="6.7109375" style="2" bestFit="1" customWidth="1"/>
    <col min="7" max="7" width="6.140625" style="3" bestFit="1" customWidth="1"/>
    <col min="8" max="8" width="33.28515625" style="3" bestFit="1" customWidth="1"/>
    <col min="9" max="9" width="7.7109375" style="2" bestFit="1" customWidth="1"/>
    <col min="10" max="10" width="34.140625" style="3" bestFit="1" customWidth="1"/>
    <col min="11" max="11" width="73.140625" style="3" bestFit="1" customWidth="1"/>
    <col min="12" max="16384" width="9" style="3"/>
  </cols>
  <sheetData>
    <row r="1" spans="1:11">
      <c r="A1" s="1" t="s">
        <v>51</v>
      </c>
    </row>
    <row r="2" spans="1:11">
      <c r="A2" s="1" t="s">
        <v>1</v>
      </c>
    </row>
    <row r="3" spans="1:11" ht="18.75">
      <c r="A3" s="4"/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5" t="s">
        <v>8</v>
      </c>
      <c r="I3" s="4" t="s">
        <v>9</v>
      </c>
      <c r="J3" s="5" t="s">
        <v>10</v>
      </c>
    </row>
    <row r="4" spans="1:11">
      <c r="A4" s="6"/>
      <c r="B4" s="6"/>
      <c r="C4" s="6">
        <f>SUM(C5:C26)</f>
        <v>22</v>
      </c>
      <c r="D4" s="6">
        <f>SUM(D5:D26)</f>
        <v>44</v>
      </c>
      <c r="E4" s="6"/>
      <c r="F4" s="6"/>
      <c r="G4" s="7"/>
      <c r="H4" s="7" t="s">
        <v>11</v>
      </c>
      <c r="I4" s="6"/>
      <c r="J4" s="7"/>
    </row>
    <row r="5" spans="1:11">
      <c r="A5" s="8">
        <v>0</v>
      </c>
      <c r="B5" s="9" t="s">
        <v>50</v>
      </c>
      <c r="C5" s="8">
        <v>2</v>
      </c>
      <c r="D5" s="8">
        <v>4</v>
      </c>
      <c r="E5" s="8">
        <v>0</v>
      </c>
      <c r="F5" s="8">
        <f>16^D5-1</f>
        <v>65535</v>
      </c>
      <c r="G5" s="10" t="s">
        <v>49</v>
      </c>
      <c r="H5" s="11" t="s">
        <v>114</v>
      </c>
      <c r="I5" s="8"/>
      <c r="J5" s="33"/>
    </row>
    <row r="6" spans="1:11">
      <c r="A6" s="14">
        <v>1</v>
      </c>
      <c r="B6" s="15" t="s">
        <v>48</v>
      </c>
      <c r="C6" s="14">
        <v>2</v>
      </c>
      <c r="D6" s="14">
        <v>4</v>
      </c>
      <c r="E6" s="14">
        <v>0</v>
      </c>
      <c r="F6" s="14">
        <f>16^D6-1</f>
        <v>65535</v>
      </c>
      <c r="G6" s="16" t="s">
        <v>25</v>
      </c>
      <c r="H6" s="17" t="s">
        <v>47</v>
      </c>
      <c r="I6" s="14"/>
      <c r="J6" s="17"/>
    </row>
    <row r="7" spans="1:11">
      <c r="A7" s="20">
        <v>2</v>
      </c>
      <c r="B7" s="21" t="s">
        <v>92</v>
      </c>
      <c r="C7" s="20">
        <v>2</v>
      </c>
      <c r="D7" s="20">
        <v>4</v>
      </c>
      <c r="E7" s="20">
        <v>0</v>
      </c>
      <c r="F7" s="20">
        <f>16^D7-1</f>
        <v>65535</v>
      </c>
      <c r="G7" s="39" t="s">
        <v>13</v>
      </c>
      <c r="H7" s="38" t="s">
        <v>93</v>
      </c>
      <c r="I7" s="14" t="s">
        <v>94</v>
      </c>
      <c r="J7" s="17" t="s">
        <v>95</v>
      </c>
    </row>
    <row r="8" spans="1:11">
      <c r="A8" s="14">
        <v>3</v>
      </c>
      <c r="B8" s="21" t="s">
        <v>96</v>
      </c>
      <c r="C8" s="20">
        <v>2</v>
      </c>
      <c r="D8" s="20">
        <v>4</v>
      </c>
      <c r="E8" s="20">
        <v>0</v>
      </c>
      <c r="F8" s="20">
        <f>16^D8-1</f>
        <v>65535</v>
      </c>
      <c r="G8" s="39" t="s">
        <v>13</v>
      </c>
      <c r="H8" s="38" t="s">
        <v>97</v>
      </c>
      <c r="I8" s="14" t="s">
        <v>94</v>
      </c>
      <c r="J8" s="17" t="s">
        <v>95</v>
      </c>
    </row>
    <row r="9" spans="1:11">
      <c r="A9" s="22">
        <v>4</v>
      </c>
      <c r="B9" s="15" t="s">
        <v>46</v>
      </c>
      <c r="C9" s="14">
        <v>2</v>
      </c>
      <c r="D9" s="14">
        <v>4</v>
      </c>
      <c r="E9" s="14">
        <v>0</v>
      </c>
      <c r="F9" s="14">
        <f t="shared" ref="F9" si="0">16^D9-1</f>
        <v>65535</v>
      </c>
      <c r="G9" s="16" t="s">
        <v>13</v>
      </c>
      <c r="H9" s="17" t="s">
        <v>89</v>
      </c>
      <c r="I9" s="14" t="s">
        <v>94</v>
      </c>
      <c r="J9" s="17" t="s">
        <v>90</v>
      </c>
    </row>
    <row r="10" spans="1:11">
      <c r="A10" s="20">
        <v>5</v>
      </c>
      <c r="B10" s="21" t="s">
        <v>45</v>
      </c>
      <c r="C10" s="20">
        <v>2</v>
      </c>
      <c r="D10" s="20">
        <v>4</v>
      </c>
      <c r="E10" s="20">
        <v>0</v>
      </c>
      <c r="F10" s="20">
        <f>16^D10-1</f>
        <v>65535</v>
      </c>
      <c r="G10" s="39" t="s">
        <v>13</v>
      </c>
      <c r="H10" s="38" t="s">
        <v>44</v>
      </c>
      <c r="I10" s="14" t="s">
        <v>113</v>
      </c>
      <c r="J10" s="17" t="s">
        <v>95</v>
      </c>
    </row>
    <row r="11" spans="1:11">
      <c r="A11" s="14">
        <v>6</v>
      </c>
      <c r="B11" s="21" t="s">
        <v>98</v>
      </c>
      <c r="C11" s="20">
        <v>2</v>
      </c>
      <c r="D11" s="20">
        <v>4</v>
      </c>
      <c r="E11" s="20">
        <v>0</v>
      </c>
      <c r="F11" s="20">
        <f t="shared" ref="F11" si="1">16^D11-1</f>
        <v>65535</v>
      </c>
      <c r="G11" s="39" t="s">
        <v>13</v>
      </c>
      <c r="H11" s="38" t="s">
        <v>109</v>
      </c>
      <c r="I11" s="14" t="s">
        <v>94</v>
      </c>
      <c r="J11" s="17" t="s">
        <v>99</v>
      </c>
    </row>
    <row r="12" spans="1:11">
      <c r="A12" s="14">
        <v>7</v>
      </c>
      <c r="B12" s="21" t="s">
        <v>43</v>
      </c>
      <c r="C12" s="20">
        <v>2</v>
      </c>
      <c r="D12" s="20">
        <v>4</v>
      </c>
      <c r="E12" s="20">
        <v>0</v>
      </c>
      <c r="F12" s="20">
        <f t="shared" ref="F12:F13" si="2">16^D12-1</f>
        <v>65535</v>
      </c>
      <c r="G12" s="39" t="s">
        <v>13</v>
      </c>
      <c r="H12" s="38" t="s">
        <v>108</v>
      </c>
      <c r="I12" s="14" t="s">
        <v>94</v>
      </c>
      <c r="J12" s="17" t="s">
        <v>104</v>
      </c>
    </row>
    <row r="13" spans="1:11">
      <c r="A13" s="20">
        <v>8</v>
      </c>
      <c r="B13" s="21" t="s">
        <v>42</v>
      </c>
      <c r="C13" s="20">
        <v>2</v>
      </c>
      <c r="D13" s="20">
        <v>4</v>
      </c>
      <c r="E13" s="20">
        <v>0</v>
      </c>
      <c r="F13" s="20">
        <f t="shared" si="2"/>
        <v>65535</v>
      </c>
      <c r="G13" s="39" t="s">
        <v>13</v>
      </c>
      <c r="H13" s="38" t="s">
        <v>110</v>
      </c>
      <c r="I13" s="14" t="s">
        <v>94</v>
      </c>
      <c r="J13" s="17" t="s">
        <v>95</v>
      </c>
    </row>
    <row r="14" spans="1:11">
      <c r="A14" s="20">
        <v>9</v>
      </c>
      <c r="B14" s="21" t="s">
        <v>111</v>
      </c>
      <c r="C14" s="20">
        <v>2</v>
      </c>
      <c r="D14" s="20">
        <v>4</v>
      </c>
      <c r="E14" s="20">
        <v>0</v>
      </c>
      <c r="F14" s="20">
        <f t="shared" ref="F14" si="3">16^D14-1</f>
        <v>65535</v>
      </c>
      <c r="G14" s="39" t="s">
        <v>13</v>
      </c>
      <c r="H14" s="38" t="s">
        <v>112</v>
      </c>
      <c r="I14" s="14" t="s">
        <v>94</v>
      </c>
      <c r="J14" s="17" t="s">
        <v>95</v>
      </c>
    </row>
    <row r="15" spans="1:11">
      <c r="A15" s="20">
        <v>10</v>
      </c>
      <c r="B15" s="21" t="s">
        <v>40</v>
      </c>
      <c r="C15" s="20">
        <v>2</v>
      </c>
      <c r="D15" s="20">
        <v>4</v>
      </c>
      <c r="E15" s="20">
        <v>0</v>
      </c>
      <c r="F15" s="20">
        <f>16^D15-1</f>
        <v>65535</v>
      </c>
      <c r="G15" s="39" t="s">
        <v>13</v>
      </c>
      <c r="H15" s="38" t="s">
        <v>39</v>
      </c>
      <c r="I15" s="14">
        <v>128</v>
      </c>
      <c r="J15" s="17" t="s">
        <v>38</v>
      </c>
      <c r="K15" s="3" t="s">
        <v>37</v>
      </c>
    </row>
    <row r="16" spans="1:11">
      <c r="A16" s="22"/>
      <c r="B16" s="23"/>
      <c r="C16" s="22"/>
      <c r="D16" s="22"/>
      <c r="E16" s="22"/>
      <c r="F16" s="22"/>
      <c r="G16" s="37"/>
      <c r="H16" s="36"/>
      <c r="I16" s="14">
        <f t="shared" ref="I16:I22" si="4">I15/2</f>
        <v>64</v>
      </c>
      <c r="J16" s="17"/>
    </row>
    <row r="17" spans="1:10">
      <c r="A17" s="22"/>
      <c r="B17" s="23"/>
      <c r="C17" s="22"/>
      <c r="D17" s="22"/>
      <c r="E17" s="22"/>
      <c r="F17" s="22"/>
      <c r="G17" s="37"/>
      <c r="H17" s="36" t="s">
        <v>36</v>
      </c>
      <c r="I17" s="14">
        <f t="shared" si="4"/>
        <v>32</v>
      </c>
      <c r="J17" s="17"/>
    </row>
    <row r="18" spans="1:10">
      <c r="A18" s="22"/>
      <c r="B18" s="23"/>
      <c r="C18" s="22"/>
      <c r="D18" s="22"/>
      <c r="E18" s="22"/>
      <c r="F18" s="22"/>
      <c r="G18" s="37"/>
      <c r="H18" s="36"/>
      <c r="I18" s="14">
        <f t="shared" si="4"/>
        <v>16</v>
      </c>
      <c r="J18" s="17"/>
    </row>
    <row r="19" spans="1:10">
      <c r="A19" s="22"/>
      <c r="B19" s="23"/>
      <c r="C19" s="22"/>
      <c r="D19" s="22"/>
      <c r="E19" s="22"/>
      <c r="F19" s="22"/>
      <c r="G19" s="37"/>
      <c r="H19" s="36"/>
      <c r="I19" s="14">
        <f t="shared" si="4"/>
        <v>8</v>
      </c>
      <c r="J19" s="17"/>
    </row>
    <row r="20" spans="1:10">
      <c r="A20" s="22"/>
      <c r="B20" s="23"/>
      <c r="C20" s="22"/>
      <c r="D20" s="22"/>
      <c r="E20" s="22"/>
      <c r="F20" s="22"/>
      <c r="G20" s="37"/>
      <c r="H20" s="36"/>
      <c r="I20" s="14">
        <f t="shared" si="4"/>
        <v>4</v>
      </c>
      <c r="J20" s="17"/>
    </row>
    <row r="21" spans="1:10">
      <c r="A21" s="22"/>
      <c r="B21" s="23"/>
      <c r="C21" s="22"/>
      <c r="D21" s="22"/>
      <c r="E21" s="22"/>
      <c r="F21" s="22"/>
      <c r="G21" s="37"/>
      <c r="H21" s="36"/>
      <c r="I21" s="14">
        <f t="shared" si="4"/>
        <v>2</v>
      </c>
      <c r="J21" s="17"/>
    </row>
    <row r="22" spans="1:10">
      <c r="A22" s="24"/>
      <c r="B22" s="25"/>
      <c r="C22" s="24"/>
      <c r="D22" s="24"/>
      <c r="E22" s="24"/>
      <c r="F22" s="24"/>
      <c r="G22" s="35"/>
      <c r="H22" s="34"/>
      <c r="I22" s="26">
        <f t="shared" si="4"/>
        <v>1</v>
      </c>
      <c r="J22" s="28"/>
    </row>
  </sheetData>
  <sheetProtection selectLockedCells="1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FFBA6-CC14-4887-8D14-AE60B953F7B3}">
  <sheetPr codeName="Sheet17"/>
  <dimension ref="A1:J7"/>
  <sheetViews>
    <sheetView showGridLines="0" zoomScale="115" zoomScaleNormal="115" workbookViewId="0">
      <selection activeCell="C20" sqref="C20"/>
    </sheetView>
  </sheetViews>
  <sheetFormatPr defaultColWidth="9" defaultRowHeight="15"/>
  <cols>
    <col min="1" max="1" width="4.42578125" style="2" customWidth="1"/>
    <col min="2" max="2" width="20.5703125" style="2" bestFit="1" customWidth="1"/>
    <col min="3" max="3" width="7.7109375" style="2" bestFit="1" customWidth="1"/>
    <col min="4" max="4" width="5.7109375" style="2" bestFit="1" customWidth="1"/>
    <col min="5" max="5" width="5.85546875" style="2" bestFit="1" customWidth="1"/>
    <col min="6" max="6" width="6.7109375" style="2" bestFit="1" customWidth="1"/>
    <col min="7" max="7" width="9.140625" style="3" bestFit="1" customWidth="1"/>
    <col min="8" max="8" width="34.140625" style="3" bestFit="1" customWidth="1"/>
    <col min="9" max="9" width="8.42578125" style="2" bestFit="1" customWidth="1"/>
    <col min="10" max="10" width="42.42578125" style="3" bestFit="1" customWidth="1"/>
    <col min="11" max="11" width="73.140625" style="3" bestFit="1" customWidth="1"/>
    <col min="12" max="16384" width="9" style="3"/>
  </cols>
  <sheetData>
    <row r="1" spans="1:10">
      <c r="A1" s="1" t="s">
        <v>35</v>
      </c>
    </row>
    <row r="2" spans="1:10">
      <c r="A2" s="1" t="s">
        <v>1</v>
      </c>
    </row>
    <row r="3" spans="1:10" ht="18.75">
      <c r="A3" s="4"/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5" t="s">
        <v>8</v>
      </c>
      <c r="I3" s="4" t="s">
        <v>34</v>
      </c>
      <c r="J3" s="5" t="s">
        <v>10</v>
      </c>
    </row>
    <row r="4" spans="1:10">
      <c r="A4" s="6"/>
      <c r="B4" s="6"/>
      <c r="C4" s="6">
        <f>SUM(C5:C12)</f>
        <v>6</v>
      </c>
      <c r="D4" s="6">
        <f>SUM(D5:D12)</f>
        <v>12</v>
      </c>
      <c r="E4" s="6"/>
      <c r="F4" s="6"/>
      <c r="G4" s="7"/>
      <c r="H4" s="7" t="s">
        <v>11</v>
      </c>
      <c r="I4" s="6"/>
      <c r="J4" s="7"/>
    </row>
    <row r="5" spans="1:10">
      <c r="A5" s="14">
        <v>0</v>
      </c>
      <c r="B5" s="15" t="s">
        <v>33</v>
      </c>
      <c r="C5" s="14">
        <v>2</v>
      </c>
      <c r="D5" s="14">
        <v>4</v>
      </c>
      <c r="E5" s="14">
        <v>0</v>
      </c>
      <c r="F5" s="14">
        <f>16^D5-1</f>
        <v>65535</v>
      </c>
      <c r="G5" s="17" t="s">
        <v>30</v>
      </c>
      <c r="H5" s="17" t="s">
        <v>32</v>
      </c>
      <c r="I5" s="14"/>
      <c r="J5" s="17"/>
    </row>
    <row r="6" spans="1:10">
      <c r="A6" s="14">
        <v>1</v>
      </c>
      <c r="B6" s="15" t="s">
        <v>31</v>
      </c>
      <c r="C6" s="14">
        <v>2</v>
      </c>
      <c r="D6" s="14">
        <v>4</v>
      </c>
      <c r="E6" s="14">
        <v>0</v>
      </c>
      <c r="F6" s="14">
        <f>16^D6-1</f>
        <v>65535</v>
      </c>
      <c r="G6" s="17" t="s">
        <v>30</v>
      </c>
      <c r="H6" s="17" t="s">
        <v>29</v>
      </c>
      <c r="I6" s="14"/>
      <c r="J6" s="17" t="s">
        <v>28</v>
      </c>
    </row>
    <row r="7" spans="1:10">
      <c r="A7" s="26">
        <v>2</v>
      </c>
      <c r="B7" s="30" t="s">
        <v>50</v>
      </c>
      <c r="C7" s="26">
        <v>2</v>
      </c>
      <c r="D7" s="26">
        <v>4</v>
      </c>
      <c r="E7" s="26">
        <v>0</v>
      </c>
      <c r="F7" s="26">
        <f>16^D7-1</f>
        <v>65535</v>
      </c>
      <c r="G7" s="27" t="s">
        <v>49</v>
      </c>
      <c r="H7" s="28" t="s">
        <v>115</v>
      </c>
      <c r="I7" s="26"/>
      <c r="J7" s="29"/>
    </row>
  </sheetData>
  <sheetProtection selectLockedCells="1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64BA6-1AA6-4166-A640-E8ABEAE7FC27}">
  <sheetPr codeName="Sheet15"/>
  <dimension ref="A1:J10"/>
  <sheetViews>
    <sheetView showGridLines="0" zoomScale="115" zoomScaleNormal="115" workbookViewId="0">
      <selection activeCell="A5" sqref="A5:J10"/>
    </sheetView>
  </sheetViews>
  <sheetFormatPr defaultColWidth="9" defaultRowHeight="15"/>
  <cols>
    <col min="1" max="1" width="4.42578125" style="2" customWidth="1"/>
    <col min="2" max="2" width="20.5703125" style="2" bestFit="1" customWidth="1"/>
    <col min="3" max="3" width="7.7109375" style="2" bestFit="1" customWidth="1"/>
    <col min="4" max="4" width="5.7109375" style="2" bestFit="1" customWidth="1"/>
    <col min="5" max="5" width="5.85546875" style="2" bestFit="1" customWidth="1"/>
    <col min="6" max="6" width="6.7109375" style="2" bestFit="1" customWidth="1"/>
    <col min="7" max="7" width="9.140625" style="3" bestFit="1" customWidth="1"/>
    <col min="8" max="8" width="27" style="3" bestFit="1" customWidth="1"/>
    <col min="9" max="9" width="8.42578125" style="2" bestFit="1" customWidth="1"/>
    <col min="10" max="10" width="42.42578125" style="3" bestFit="1" customWidth="1"/>
    <col min="11" max="11" width="73.140625" style="3" bestFit="1" customWidth="1"/>
    <col min="12" max="16384" width="9" style="3"/>
  </cols>
  <sheetData>
    <row r="1" spans="1:10">
      <c r="A1" s="1" t="s">
        <v>0</v>
      </c>
    </row>
    <row r="2" spans="1:10">
      <c r="A2" s="1" t="s">
        <v>1</v>
      </c>
    </row>
    <row r="3" spans="1:10" ht="18.75">
      <c r="A3" s="4"/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5" t="s">
        <v>8</v>
      </c>
      <c r="I3" s="4" t="s">
        <v>9</v>
      </c>
      <c r="J3" s="5" t="s">
        <v>10</v>
      </c>
    </row>
    <row r="4" spans="1:10">
      <c r="A4" s="6"/>
      <c r="B4" s="6"/>
      <c r="C4" s="6">
        <f>SUM(C5:C15)</f>
        <v>8</v>
      </c>
      <c r="D4" s="6">
        <f>SUM(D5:D15)</f>
        <v>16</v>
      </c>
      <c r="E4" s="6"/>
      <c r="F4" s="6"/>
      <c r="G4" s="7"/>
      <c r="H4" s="7" t="s">
        <v>11</v>
      </c>
      <c r="I4" s="6"/>
      <c r="J4" s="7"/>
    </row>
    <row r="5" spans="1:10">
      <c r="A5" s="8">
        <v>0</v>
      </c>
      <c r="B5" s="9" t="s">
        <v>12</v>
      </c>
      <c r="C5" s="8">
        <v>2</v>
      </c>
      <c r="D5" s="8">
        <v>4</v>
      </c>
      <c r="E5" s="8">
        <v>0</v>
      </c>
      <c r="F5" s="8">
        <f t="shared" ref="F5:F10" si="0">16^D5-1</f>
        <v>65535</v>
      </c>
      <c r="G5" s="10" t="s">
        <v>13</v>
      </c>
      <c r="H5" s="11" t="s">
        <v>12</v>
      </c>
      <c r="I5" s="12"/>
      <c r="J5" s="13" t="s">
        <v>14</v>
      </c>
    </row>
    <row r="6" spans="1:10">
      <c r="A6" s="14">
        <v>1</v>
      </c>
      <c r="B6" s="15" t="s">
        <v>15</v>
      </c>
      <c r="C6" s="14">
        <v>2</v>
      </c>
      <c r="D6" s="14">
        <v>4</v>
      </c>
      <c r="E6" s="14">
        <v>0</v>
      </c>
      <c r="F6" s="14">
        <f t="shared" si="0"/>
        <v>65535</v>
      </c>
      <c r="G6" s="16" t="s">
        <v>13</v>
      </c>
      <c r="H6" s="17" t="s">
        <v>15</v>
      </c>
      <c r="I6" s="18"/>
      <c r="J6" s="19"/>
    </row>
    <row r="7" spans="1:10">
      <c r="A7" s="14">
        <v>2</v>
      </c>
      <c r="B7" s="15" t="s">
        <v>16</v>
      </c>
      <c r="C7" s="14">
        <v>2</v>
      </c>
      <c r="D7" s="14">
        <v>4</v>
      </c>
      <c r="E7" s="14">
        <v>0</v>
      </c>
      <c r="F7" s="14">
        <f t="shared" si="0"/>
        <v>65535</v>
      </c>
      <c r="G7" s="17" t="s">
        <v>13</v>
      </c>
      <c r="H7" s="17" t="s">
        <v>16</v>
      </c>
      <c r="I7" s="14"/>
      <c r="J7" s="17" t="s">
        <v>17</v>
      </c>
    </row>
    <row r="8" spans="1:10">
      <c r="A8" s="20">
        <v>3</v>
      </c>
      <c r="B8" s="21" t="s">
        <v>18</v>
      </c>
      <c r="C8" s="14">
        <v>0.5</v>
      </c>
      <c r="D8" s="14">
        <v>1</v>
      </c>
      <c r="E8" s="14">
        <v>0</v>
      </c>
      <c r="F8" s="14">
        <f t="shared" si="0"/>
        <v>15</v>
      </c>
      <c r="G8" s="16" t="s">
        <v>13</v>
      </c>
      <c r="H8" s="17" t="s">
        <v>19</v>
      </c>
      <c r="I8" s="14"/>
      <c r="J8" s="17"/>
    </row>
    <row r="9" spans="1:10">
      <c r="A9" s="22"/>
      <c r="B9" s="23"/>
      <c r="C9" s="14">
        <v>0.5</v>
      </c>
      <c r="D9" s="14">
        <v>1</v>
      </c>
      <c r="E9" s="14">
        <v>0</v>
      </c>
      <c r="F9" s="14">
        <f t="shared" si="0"/>
        <v>15</v>
      </c>
      <c r="G9" s="16" t="s">
        <v>13</v>
      </c>
      <c r="H9" s="17" t="s">
        <v>20</v>
      </c>
      <c r="I9" s="14"/>
      <c r="J9" s="17"/>
    </row>
    <row r="10" spans="1:10">
      <c r="A10" s="24"/>
      <c r="B10" s="25"/>
      <c r="C10" s="26">
        <v>1</v>
      </c>
      <c r="D10" s="26">
        <v>2</v>
      </c>
      <c r="E10" s="26">
        <v>0</v>
      </c>
      <c r="F10" s="26">
        <f t="shared" si="0"/>
        <v>255</v>
      </c>
      <c r="G10" s="27" t="s">
        <v>13</v>
      </c>
      <c r="H10" s="28" t="s">
        <v>21</v>
      </c>
      <c r="I10" s="26"/>
      <c r="J10" s="28"/>
    </row>
  </sheetData>
  <sheetProtection selectLockedCells="1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DC092-BBD6-43C0-BACB-9E34A3B96B7D}">
  <sheetPr codeName="Sheet4"/>
  <dimension ref="A1"/>
  <sheetViews>
    <sheetView workbookViewId="0">
      <selection activeCell="M28" sqref="M28"/>
    </sheetView>
  </sheetViews>
  <sheetFormatPr defaultRowHeight="15"/>
  <sheetData>
    <row r="1" spans="1:1">
      <c r="A1" t="s">
        <v>103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30283-E7E1-44E9-A96F-E1147AB9243E}">
  <sheetPr codeName="Sheet19"/>
  <dimension ref="A1:J30"/>
  <sheetViews>
    <sheetView showGridLines="0" zoomScale="70" zoomScaleNormal="70" workbookViewId="0">
      <pane ySplit="4" topLeftCell="A5" activePane="bottomLeft" state="frozen"/>
      <selection pane="bottomLeft" activeCell="J42" sqref="J42"/>
    </sheetView>
  </sheetViews>
  <sheetFormatPr defaultRowHeight="15"/>
  <cols>
    <col min="1" max="1" width="4.42578125" style="2" customWidth="1"/>
    <col min="2" max="2" width="25.5703125" style="2" customWidth="1"/>
    <col min="3" max="3" width="7.7109375" style="2" bestFit="1" customWidth="1"/>
    <col min="4" max="4" width="5.7109375" style="2" bestFit="1" customWidth="1"/>
    <col min="5" max="5" width="5.85546875" style="2" bestFit="1" customWidth="1"/>
    <col min="6" max="6" width="10.140625" style="2" customWidth="1"/>
    <col min="7" max="7" width="9.140625" style="3"/>
    <col min="8" max="8" width="34" style="3" customWidth="1"/>
    <col min="9" max="9" width="8.42578125" style="2" bestFit="1" customWidth="1"/>
    <col min="10" max="10" width="42.42578125" style="3" bestFit="1" customWidth="1"/>
  </cols>
  <sheetData>
    <row r="1" spans="1:10">
      <c r="A1" s="1" t="s">
        <v>87</v>
      </c>
    </row>
    <row r="2" spans="1:10">
      <c r="A2" s="1" t="s">
        <v>88</v>
      </c>
    </row>
    <row r="3" spans="1:10" ht="18.75">
      <c r="A3" s="4"/>
      <c r="B3" s="4" t="s">
        <v>63</v>
      </c>
      <c r="C3" s="4" t="s">
        <v>3</v>
      </c>
      <c r="D3" s="4" t="s">
        <v>4</v>
      </c>
      <c r="E3" s="4" t="s">
        <v>64</v>
      </c>
      <c r="F3" s="4" t="s">
        <v>65</v>
      </c>
      <c r="G3" s="5" t="s">
        <v>66</v>
      </c>
      <c r="H3" s="5" t="s">
        <v>67</v>
      </c>
      <c r="I3" s="4" t="s">
        <v>9</v>
      </c>
      <c r="J3" s="5" t="s">
        <v>68</v>
      </c>
    </row>
    <row r="4" spans="1:10">
      <c r="A4" s="6"/>
      <c r="B4" s="6"/>
      <c r="C4" s="6">
        <f>SUM(C5:C456)</f>
        <v>34</v>
      </c>
      <c r="D4" s="6">
        <f>SUM(D5:D456)</f>
        <v>68</v>
      </c>
      <c r="E4" s="6"/>
      <c r="F4" s="6"/>
      <c r="G4" s="7"/>
      <c r="H4" s="7" t="s">
        <v>11</v>
      </c>
      <c r="I4" s="6"/>
      <c r="J4" s="7"/>
    </row>
    <row r="5" spans="1:10">
      <c r="A5" s="8">
        <v>0</v>
      </c>
      <c r="B5" s="9" t="s">
        <v>50</v>
      </c>
      <c r="C5" s="8">
        <v>2</v>
      </c>
      <c r="D5" s="8">
        <v>4</v>
      </c>
      <c r="E5" s="8">
        <v>0</v>
      </c>
      <c r="F5" s="8">
        <f>16^D5-1</f>
        <v>65535</v>
      </c>
      <c r="G5" s="10" t="s">
        <v>49</v>
      </c>
      <c r="H5" s="11" t="s">
        <v>114</v>
      </c>
      <c r="I5" s="8"/>
      <c r="J5" s="33"/>
    </row>
    <row r="6" spans="1:10">
      <c r="A6" s="14">
        <v>1</v>
      </c>
      <c r="B6" s="15" t="s">
        <v>48</v>
      </c>
      <c r="C6" s="14">
        <v>2</v>
      </c>
      <c r="D6" s="14">
        <v>4</v>
      </c>
      <c r="E6" s="14">
        <v>0</v>
      </c>
      <c r="F6" s="14">
        <f>16^D6-1</f>
        <v>65535</v>
      </c>
      <c r="G6" s="16" t="s">
        <v>25</v>
      </c>
      <c r="H6" s="17" t="s">
        <v>47</v>
      </c>
      <c r="I6" s="14"/>
      <c r="J6" s="17"/>
    </row>
    <row r="7" spans="1:10">
      <c r="A7" s="20">
        <v>2</v>
      </c>
      <c r="B7" s="21" t="s">
        <v>92</v>
      </c>
      <c r="C7" s="20">
        <v>2</v>
      </c>
      <c r="D7" s="20">
        <v>4</v>
      </c>
      <c r="E7" s="20">
        <v>0</v>
      </c>
      <c r="F7" s="20">
        <f>16^D7-1</f>
        <v>65535</v>
      </c>
      <c r="G7" s="39" t="s">
        <v>13</v>
      </c>
      <c r="H7" s="38" t="s">
        <v>93</v>
      </c>
      <c r="I7" s="14" t="s">
        <v>94</v>
      </c>
      <c r="J7" s="17" t="s">
        <v>95</v>
      </c>
    </row>
    <row r="8" spans="1:10">
      <c r="A8" s="14">
        <v>3</v>
      </c>
      <c r="B8" s="21" t="s">
        <v>96</v>
      </c>
      <c r="C8" s="20">
        <v>2</v>
      </c>
      <c r="D8" s="20">
        <v>4</v>
      </c>
      <c r="E8" s="20">
        <v>0</v>
      </c>
      <c r="F8" s="20">
        <f>16^D8-1</f>
        <v>65535</v>
      </c>
      <c r="G8" s="39" t="s">
        <v>13</v>
      </c>
      <c r="H8" s="38" t="s">
        <v>97</v>
      </c>
      <c r="I8" s="14" t="s">
        <v>94</v>
      </c>
      <c r="J8" s="17" t="s">
        <v>95</v>
      </c>
    </row>
    <row r="9" spans="1:10">
      <c r="A9" s="22">
        <v>4</v>
      </c>
      <c r="B9" s="15" t="s">
        <v>46</v>
      </c>
      <c r="C9" s="14">
        <v>2</v>
      </c>
      <c r="D9" s="14">
        <v>4</v>
      </c>
      <c r="E9" s="14">
        <v>0</v>
      </c>
      <c r="F9" s="14">
        <f t="shared" ref="F9" si="0">16^D9-1</f>
        <v>65535</v>
      </c>
      <c r="G9" s="16" t="s">
        <v>13</v>
      </c>
      <c r="H9" s="17" t="s">
        <v>89</v>
      </c>
      <c r="I9" s="14" t="s">
        <v>94</v>
      </c>
      <c r="J9" s="17" t="s">
        <v>90</v>
      </c>
    </row>
    <row r="10" spans="1:10">
      <c r="A10" s="20">
        <v>5</v>
      </c>
      <c r="B10" s="21" t="s">
        <v>45</v>
      </c>
      <c r="C10" s="20">
        <v>2</v>
      </c>
      <c r="D10" s="20">
        <v>4</v>
      </c>
      <c r="E10" s="20">
        <v>0</v>
      </c>
      <c r="F10" s="20">
        <f>16^D10-1</f>
        <v>65535</v>
      </c>
      <c r="G10" s="39" t="s">
        <v>13</v>
      </c>
      <c r="H10" s="38" t="s">
        <v>44</v>
      </c>
      <c r="I10" s="14" t="s">
        <v>113</v>
      </c>
      <c r="J10" s="17" t="s">
        <v>95</v>
      </c>
    </row>
    <row r="11" spans="1:10">
      <c r="A11" s="14">
        <v>6</v>
      </c>
      <c r="B11" s="21" t="s">
        <v>98</v>
      </c>
      <c r="C11" s="20">
        <v>2</v>
      </c>
      <c r="D11" s="20">
        <v>4</v>
      </c>
      <c r="E11" s="20">
        <v>0</v>
      </c>
      <c r="F11" s="20">
        <f t="shared" ref="F11:F14" si="1">16^D11-1</f>
        <v>65535</v>
      </c>
      <c r="G11" s="39" t="s">
        <v>13</v>
      </c>
      <c r="H11" s="38" t="s">
        <v>109</v>
      </c>
      <c r="I11" s="14" t="s">
        <v>94</v>
      </c>
      <c r="J11" s="17" t="s">
        <v>99</v>
      </c>
    </row>
    <row r="12" spans="1:10">
      <c r="A12" s="14">
        <v>7</v>
      </c>
      <c r="B12" s="21" t="s">
        <v>43</v>
      </c>
      <c r="C12" s="20">
        <v>2</v>
      </c>
      <c r="D12" s="20">
        <v>4</v>
      </c>
      <c r="E12" s="20">
        <v>0</v>
      </c>
      <c r="F12" s="20">
        <f t="shared" si="1"/>
        <v>65535</v>
      </c>
      <c r="G12" s="39" t="s">
        <v>13</v>
      </c>
      <c r="H12" s="38" t="s">
        <v>108</v>
      </c>
      <c r="I12" s="14" t="s">
        <v>94</v>
      </c>
      <c r="J12" s="17" t="s">
        <v>104</v>
      </c>
    </row>
    <row r="13" spans="1:10">
      <c r="A13" s="20">
        <v>8</v>
      </c>
      <c r="B13" s="21" t="s">
        <v>42</v>
      </c>
      <c r="C13" s="20">
        <v>2</v>
      </c>
      <c r="D13" s="20">
        <v>4</v>
      </c>
      <c r="E13" s="20">
        <v>0</v>
      </c>
      <c r="F13" s="20">
        <f t="shared" si="1"/>
        <v>65535</v>
      </c>
      <c r="G13" s="39" t="s">
        <v>13</v>
      </c>
      <c r="H13" s="38" t="s">
        <v>110</v>
      </c>
      <c r="I13" s="14" t="s">
        <v>94</v>
      </c>
      <c r="J13" s="17" t="s">
        <v>95</v>
      </c>
    </row>
    <row r="14" spans="1:10">
      <c r="A14" s="20">
        <v>9</v>
      </c>
      <c r="B14" s="21" t="s">
        <v>111</v>
      </c>
      <c r="C14" s="20">
        <v>2</v>
      </c>
      <c r="D14" s="20">
        <v>4</v>
      </c>
      <c r="E14" s="20">
        <v>0</v>
      </c>
      <c r="F14" s="20">
        <f t="shared" si="1"/>
        <v>65535</v>
      </c>
      <c r="G14" s="39" t="s">
        <v>13</v>
      </c>
      <c r="H14" s="38" t="s">
        <v>112</v>
      </c>
      <c r="I14" s="14" t="s">
        <v>94</v>
      </c>
      <c r="J14" s="17" t="s">
        <v>95</v>
      </c>
    </row>
    <row r="15" spans="1:10">
      <c r="A15" s="20">
        <v>10</v>
      </c>
      <c r="B15" s="21" t="s">
        <v>40</v>
      </c>
      <c r="C15" s="20">
        <v>2</v>
      </c>
      <c r="D15" s="20">
        <v>4</v>
      </c>
      <c r="E15" s="20">
        <v>0</v>
      </c>
      <c r="F15" s="20">
        <f>16^D15-1</f>
        <v>65535</v>
      </c>
      <c r="G15" s="39" t="s">
        <v>13</v>
      </c>
      <c r="H15" s="38" t="s">
        <v>39</v>
      </c>
      <c r="I15" s="14">
        <v>128</v>
      </c>
      <c r="J15" s="17" t="s">
        <v>38</v>
      </c>
    </row>
    <row r="16" spans="1:10">
      <c r="A16" s="22"/>
      <c r="B16" s="23"/>
      <c r="C16" s="22"/>
      <c r="D16" s="22"/>
      <c r="E16" s="22"/>
      <c r="F16" s="22"/>
      <c r="G16" s="37"/>
      <c r="H16" s="36"/>
      <c r="I16" s="14">
        <f t="shared" ref="I16:I22" si="2">I15/2</f>
        <v>64</v>
      </c>
      <c r="J16" s="17"/>
    </row>
    <row r="17" spans="1:10">
      <c r="A17" s="22"/>
      <c r="B17" s="23"/>
      <c r="C17" s="22"/>
      <c r="D17" s="22"/>
      <c r="E17" s="22"/>
      <c r="F17" s="22"/>
      <c r="G17" s="37"/>
      <c r="H17" s="36" t="s">
        <v>36</v>
      </c>
      <c r="I17" s="14">
        <f t="shared" si="2"/>
        <v>32</v>
      </c>
      <c r="J17" s="17"/>
    </row>
    <row r="18" spans="1:10">
      <c r="A18" s="22"/>
      <c r="B18" s="23"/>
      <c r="C18" s="22"/>
      <c r="D18" s="22"/>
      <c r="E18" s="22"/>
      <c r="F18" s="22"/>
      <c r="G18" s="37"/>
      <c r="H18" s="36"/>
      <c r="I18" s="14">
        <f t="shared" si="2"/>
        <v>16</v>
      </c>
      <c r="J18" s="17"/>
    </row>
    <row r="19" spans="1:10">
      <c r="A19" s="22"/>
      <c r="B19" s="23"/>
      <c r="C19" s="22"/>
      <c r="D19" s="22"/>
      <c r="E19" s="22"/>
      <c r="F19" s="22"/>
      <c r="G19" s="37"/>
      <c r="H19" s="36"/>
      <c r="I19" s="14">
        <f t="shared" si="2"/>
        <v>8</v>
      </c>
      <c r="J19" s="17"/>
    </row>
    <row r="20" spans="1:10">
      <c r="A20" s="22"/>
      <c r="B20" s="23"/>
      <c r="C20" s="22"/>
      <c r="D20" s="22"/>
      <c r="E20" s="22"/>
      <c r="F20" s="22"/>
      <c r="G20" s="37"/>
      <c r="H20" s="36"/>
      <c r="I20" s="14">
        <f t="shared" si="2"/>
        <v>4</v>
      </c>
      <c r="J20" s="17"/>
    </row>
    <row r="21" spans="1:10">
      <c r="A21" s="22"/>
      <c r="B21" s="23"/>
      <c r="C21" s="22"/>
      <c r="D21" s="22"/>
      <c r="E21" s="22"/>
      <c r="F21" s="22"/>
      <c r="G21" s="37"/>
      <c r="H21" s="36"/>
      <c r="I21" s="14">
        <f t="shared" si="2"/>
        <v>2</v>
      </c>
      <c r="J21" s="17"/>
    </row>
    <row r="22" spans="1:10">
      <c r="A22" s="22"/>
      <c r="B22" s="23"/>
      <c r="C22" s="22"/>
      <c r="D22" s="22"/>
      <c r="E22" s="22"/>
      <c r="F22" s="22"/>
      <c r="G22" s="37"/>
      <c r="H22" s="36"/>
      <c r="I22" s="20">
        <f t="shared" si="2"/>
        <v>1</v>
      </c>
      <c r="J22" s="38"/>
    </row>
    <row r="23" spans="1:10">
      <c r="A23" s="14">
        <v>11</v>
      </c>
      <c r="B23" s="15" t="s">
        <v>33</v>
      </c>
      <c r="C23" s="14">
        <v>2</v>
      </c>
      <c r="D23" s="14">
        <v>4</v>
      </c>
      <c r="E23" s="14">
        <v>0</v>
      </c>
      <c r="F23" s="14">
        <f>16^D23-1</f>
        <v>65535</v>
      </c>
      <c r="G23" s="17" t="s">
        <v>30</v>
      </c>
      <c r="H23" s="17" t="s">
        <v>32</v>
      </c>
      <c r="I23" s="14"/>
      <c r="J23" s="17"/>
    </row>
    <row r="24" spans="1:10">
      <c r="A24" s="22">
        <v>12</v>
      </c>
      <c r="B24" s="23" t="s">
        <v>31</v>
      </c>
      <c r="C24" s="22">
        <v>2</v>
      </c>
      <c r="D24" s="22">
        <v>4</v>
      </c>
      <c r="E24" s="22">
        <v>0</v>
      </c>
      <c r="F24" s="22">
        <f>16^D24-1</f>
        <v>65535</v>
      </c>
      <c r="G24" s="36" t="s">
        <v>30</v>
      </c>
      <c r="H24" s="36" t="s">
        <v>29</v>
      </c>
      <c r="I24" s="22"/>
      <c r="J24" s="36" t="s">
        <v>28</v>
      </c>
    </row>
    <row r="25" spans="1:10">
      <c r="A25" s="14">
        <v>13</v>
      </c>
      <c r="B25" s="15" t="s">
        <v>12</v>
      </c>
      <c r="C25" s="14">
        <v>2</v>
      </c>
      <c r="D25" s="14">
        <v>4</v>
      </c>
      <c r="E25" s="14">
        <v>0</v>
      </c>
      <c r="F25" s="14">
        <f t="shared" ref="F25:F30" si="3">16^D25-1</f>
        <v>65535</v>
      </c>
      <c r="G25" s="16" t="s">
        <v>13</v>
      </c>
      <c r="H25" s="17" t="s">
        <v>12</v>
      </c>
      <c r="I25" s="14"/>
      <c r="J25" s="31" t="s">
        <v>14</v>
      </c>
    </row>
    <row r="26" spans="1:10">
      <c r="A26" s="18">
        <v>14</v>
      </c>
      <c r="B26" s="41" t="s">
        <v>15</v>
      </c>
      <c r="C26" s="18">
        <v>2</v>
      </c>
      <c r="D26" s="18">
        <v>4</v>
      </c>
      <c r="E26" s="18">
        <v>0</v>
      </c>
      <c r="F26" s="18">
        <f t="shared" si="3"/>
        <v>65535</v>
      </c>
      <c r="G26" s="40" t="s">
        <v>13</v>
      </c>
      <c r="H26" s="19" t="s">
        <v>15</v>
      </c>
      <c r="I26" s="18"/>
      <c r="J26" s="19"/>
    </row>
    <row r="27" spans="1:10">
      <c r="A27" s="14">
        <v>15</v>
      </c>
      <c r="B27" s="15" t="s">
        <v>16</v>
      </c>
      <c r="C27" s="14">
        <v>2</v>
      </c>
      <c r="D27" s="14">
        <v>4</v>
      </c>
      <c r="E27" s="14">
        <v>0</v>
      </c>
      <c r="F27" s="14">
        <f t="shared" si="3"/>
        <v>65535</v>
      </c>
      <c r="G27" s="17" t="s">
        <v>13</v>
      </c>
      <c r="H27" s="17" t="s">
        <v>16</v>
      </c>
      <c r="I27" s="14"/>
      <c r="J27" s="17" t="s">
        <v>17</v>
      </c>
    </row>
    <row r="28" spans="1:10">
      <c r="A28" s="20">
        <v>16</v>
      </c>
      <c r="B28" s="21" t="s">
        <v>18</v>
      </c>
      <c r="C28" s="14">
        <v>0.5</v>
      </c>
      <c r="D28" s="14">
        <v>1</v>
      </c>
      <c r="E28" s="14">
        <v>0</v>
      </c>
      <c r="F28" s="14">
        <f t="shared" si="3"/>
        <v>15</v>
      </c>
      <c r="G28" s="16" t="s">
        <v>13</v>
      </c>
      <c r="H28" s="17" t="s">
        <v>19</v>
      </c>
      <c r="I28" s="14"/>
      <c r="J28" s="17"/>
    </row>
    <row r="29" spans="1:10">
      <c r="A29" s="22"/>
      <c r="B29" s="23"/>
      <c r="C29" s="14">
        <v>0.5</v>
      </c>
      <c r="D29" s="14">
        <v>1</v>
      </c>
      <c r="E29" s="14">
        <v>0</v>
      </c>
      <c r="F29" s="14">
        <f t="shared" si="3"/>
        <v>15</v>
      </c>
      <c r="G29" s="16" t="s">
        <v>13</v>
      </c>
      <c r="H29" s="17" t="s">
        <v>20</v>
      </c>
      <c r="I29" s="14"/>
      <c r="J29" s="17"/>
    </row>
    <row r="30" spans="1:10">
      <c r="A30" s="24"/>
      <c r="B30" s="25"/>
      <c r="C30" s="26">
        <v>1</v>
      </c>
      <c r="D30" s="26">
        <v>2</v>
      </c>
      <c r="E30" s="26">
        <v>0</v>
      </c>
      <c r="F30" s="26">
        <f t="shared" si="3"/>
        <v>255</v>
      </c>
      <c r="G30" s="27" t="s">
        <v>13</v>
      </c>
      <c r="H30" s="28" t="s">
        <v>21</v>
      </c>
      <c r="I30" s="26"/>
      <c r="J30" s="2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323850</xdr:colOff>
                <xdr:row>0</xdr:row>
                <xdr:rowOff>38100</xdr:rowOff>
              </from>
              <to>
                <xdr:col>7</xdr:col>
                <xdr:colOff>1885950</xdr:colOff>
                <xdr:row>1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E88A-C776-44BE-8D30-7672F3D12A5C}">
  <sheetPr codeName="Sheet21"/>
  <dimension ref="A1:J8"/>
  <sheetViews>
    <sheetView showGridLines="0" zoomScale="115" zoomScaleNormal="115" workbookViewId="0">
      <selection activeCell="F13" sqref="F13"/>
    </sheetView>
  </sheetViews>
  <sheetFormatPr defaultColWidth="9" defaultRowHeight="15"/>
  <cols>
    <col min="1" max="1" width="4.42578125" style="2" customWidth="1"/>
    <col min="2" max="2" width="20.5703125" style="2" bestFit="1" customWidth="1"/>
    <col min="3" max="3" width="7.7109375" style="2" bestFit="1" customWidth="1"/>
    <col min="4" max="4" width="5.7109375" style="2" bestFit="1" customWidth="1"/>
    <col min="5" max="5" width="5.85546875" style="2" bestFit="1" customWidth="1"/>
    <col min="6" max="6" width="6.7109375" style="2" bestFit="1" customWidth="1"/>
    <col min="7" max="7" width="9.140625" style="3" bestFit="1" customWidth="1"/>
    <col min="8" max="8" width="27" style="3" bestFit="1" customWidth="1"/>
    <col min="9" max="9" width="8.42578125" style="2" bestFit="1" customWidth="1"/>
    <col min="10" max="10" width="51.42578125" style="3" bestFit="1" customWidth="1"/>
    <col min="11" max="11" width="73.140625" style="3" bestFit="1" customWidth="1"/>
    <col min="12" max="16384" width="9" style="3"/>
  </cols>
  <sheetData>
    <row r="1" spans="1:10">
      <c r="A1" s="1" t="s">
        <v>132</v>
      </c>
    </row>
    <row r="2" spans="1:10">
      <c r="A2" s="1" t="s">
        <v>1</v>
      </c>
    </row>
    <row r="3" spans="1:10" ht="18.75">
      <c r="A3" s="4"/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5" t="s">
        <v>8</v>
      </c>
      <c r="I3" s="4" t="s">
        <v>9</v>
      </c>
      <c r="J3" s="5" t="s">
        <v>10</v>
      </c>
    </row>
    <row r="4" spans="1:10">
      <c r="A4" s="6"/>
      <c r="B4" s="7" t="s">
        <v>11</v>
      </c>
      <c r="C4" s="6">
        <f>SUM(C5:C13)</f>
        <v>4</v>
      </c>
      <c r="D4" s="6">
        <f>SUM(D5:D13)</f>
        <v>8</v>
      </c>
      <c r="E4" s="6"/>
      <c r="F4" s="6"/>
      <c r="G4" s="7"/>
      <c r="H4" s="7"/>
      <c r="I4" s="6"/>
      <c r="J4" s="7"/>
    </row>
    <row r="5" spans="1:10">
      <c r="A5" s="8">
        <v>0</v>
      </c>
      <c r="B5" s="9" t="s">
        <v>120</v>
      </c>
      <c r="C5" s="8">
        <v>1</v>
      </c>
      <c r="D5" s="8">
        <v>2</v>
      </c>
      <c r="E5" s="8">
        <v>0</v>
      </c>
      <c r="F5" s="8">
        <f t="shared" ref="F5:F8" si="0">16^D5-1</f>
        <v>255</v>
      </c>
      <c r="G5" s="10" t="s">
        <v>13</v>
      </c>
      <c r="H5" s="11" t="s">
        <v>122</v>
      </c>
      <c r="I5" s="12">
        <v>0</v>
      </c>
      <c r="J5" s="13" t="s">
        <v>127</v>
      </c>
    </row>
    <row r="6" spans="1:10">
      <c r="A6" s="14">
        <v>1</v>
      </c>
      <c r="B6" s="15" t="s">
        <v>121</v>
      </c>
      <c r="C6" s="14">
        <v>1</v>
      </c>
      <c r="D6" s="14">
        <v>2</v>
      </c>
      <c r="E6" s="14">
        <v>0</v>
      </c>
      <c r="F6" s="14">
        <f t="shared" si="0"/>
        <v>255</v>
      </c>
      <c r="G6" s="16" t="s">
        <v>13</v>
      </c>
      <c r="H6" s="17" t="s">
        <v>123</v>
      </c>
      <c r="I6" s="14">
        <v>0</v>
      </c>
      <c r="J6" s="17" t="s">
        <v>126</v>
      </c>
    </row>
    <row r="7" spans="1:10">
      <c r="A7" s="14">
        <v>2</v>
      </c>
      <c r="B7" s="15" t="s">
        <v>124</v>
      </c>
      <c r="C7" s="14">
        <v>1</v>
      </c>
      <c r="D7" s="14">
        <v>2</v>
      </c>
      <c r="E7" s="14">
        <v>0</v>
      </c>
      <c r="F7" s="14">
        <f t="shared" ref="F7" si="1">16^D7-1</f>
        <v>255</v>
      </c>
      <c r="G7" s="17" t="s">
        <v>13</v>
      </c>
      <c r="H7" s="17" t="s">
        <v>125</v>
      </c>
      <c r="I7" s="14">
        <v>0</v>
      </c>
      <c r="J7" s="17" t="s">
        <v>128</v>
      </c>
    </row>
    <row r="8" spans="1:10">
      <c r="A8" s="26">
        <v>3</v>
      </c>
      <c r="B8" s="30" t="s">
        <v>129</v>
      </c>
      <c r="C8" s="26">
        <v>1</v>
      </c>
      <c r="D8" s="26">
        <v>2</v>
      </c>
      <c r="E8" s="26">
        <v>0</v>
      </c>
      <c r="F8" s="26">
        <f t="shared" si="0"/>
        <v>255</v>
      </c>
      <c r="G8" s="28" t="s">
        <v>13</v>
      </c>
      <c r="H8" s="28" t="s">
        <v>130</v>
      </c>
      <c r="I8" s="26">
        <v>0</v>
      </c>
      <c r="J8" s="28" t="s">
        <v>131</v>
      </c>
    </row>
  </sheetData>
  <sheetProtection selectLockedCells="1"/>
  <phoneticPr fontId="3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5FA3-B0B3-48A0-A120-4BB500CE3329}">
  <sheetPr codeName="Sheet22"/>
  <dimension ref="A1:J12"/>
  <sheetViews>
    <sheetView showGridLines="0" zoomScale="115" zoomScaleNormal="115" workbookViewId="0">
      <selection activeCell="I16" sqref="I16"/>
    </sheetView>
  </sheetViews>
  <sheetFormatPr defaultColWidth="9" defaultRowHeight="15"/>
  <cols>
    <col min="1" max="1" width="4.42578125" style="2" customWidth="1"/>
    <col min="2" max="2" width="20.5703125" style="2" bestFit="1" customWidth="1"/>
    <col min="3" max="3" width="7.7109375" style="2" bestFit="1" customWidth="1"/>
    <col min="4" max="4" width="5.7109375" style="2" bestFit="1" customWidth="1"/>
    <col min="5" max="5" width="5.85546875" style="2" bestFit="1" customWidth="1"/>
    <col min="6" max="6" width="6.7109375" style="2" bestFit="1" customWidth="1"/>
    <col min="7" max="7" width="9.140625" style="3" bestFit="1" customWidth="1"/>
    <col min="8" max="8" width="37.28515625" style="3" bestFit="1" customWidth="1"/>
    <col min="9" max="9" width="8.42578125" style="2" bestFit="1" customWidth="1"/>
    <col min="10" max="10" width="51.42578125" style="3" bestFit="1" customWidth="1"/>
    <col min="11" max="11" width="73.140625" style="3" bestFit="1" customWidth="1"/>
    <col min="12" max="16384" width="9" style="3"/>
  </cols>
  <sheetData>
    <row r="1" spans="1:10">
      <c r="A1" s="1" t="s">
        <v>0</v>
      </c>
    </row>
    <row r="2" spans="1:10">
      <c r="A2" s="1" t="s">
        <v>1</v>
      </c>
    </row>
    <row r="3" spans="1:10" ht="18.75">
      <c r="A3" s="4"/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5" t="s">
        <v>8</v>
      </c>
      <c r="I3" s="4" t="s">
        <v>9</v>
      </c>
      <c r="J3" s="5" t="s">
        <v>10</v>
      </c>
    </row>
    <row r="4" spans="1:10">
      <c r="A4" s="6"/>
      <c r="B4" s="7" t="s">
        <v>11</v>
      </c>
      <c r="C4" s="6">
        <f>SUM(C5:C15)</f>
        <v>16</v>
      </c>
      <c r="D4" s="6">
        <f>SUM(D5:D15)</f>
        <v>32</v>
      </c>
      <c r="E4" s="6"/>
      <c r="F4" s="6"/>
      <c r="G4" s="7"/>
      <c r="H4" s="7"/>
      <c r="I4" s="6"/>
      <c r="J4" s="7"/>
    </row>
    <row r="5" spans="1:10">
      <c r="A5" s="8">
        <v>0</v>
      </c>
      <c r="B5" s="9" t="s">
        <v>133</v>
      </c>
      <c r="C5" s="8">
        <v>2</v>
      </c>
      <c r="D5" s="8">
        <v>4</v>
      </c>
      <c r="E5" s="8">
        <v>0</v>
      </c>
      <c r="F5" s="8">
        <f t="shared" ref="F5:F6" si="0">16^D5-1</f>
        <v>65535</v>
      </c>
      <c r="G5" s="10" t="s">
        <v>80</v>
      </c>
      <c r="H5" s="11" t="s">
        <v>134</v>
      </c>
      <c r="I5" s="12">
        <v>200</v>
      </c>
      <c r="J5" s="13" t="s">
        <v>135</v>
      </c>
    </row>
    <row r="6" spans="1:10">
      <c r="A6" s="14">
        <v>1</v>
      </c>
      <c r="B6" s="15" t="s">
        <v>136</v>
      </c>
      <c r="C6" s="14">
        <v>2</v>
      </c>
      <c r="D6" s="14">
        <v>4</v>
      </c>
      <c r="E6" s="14">
        <v>0</v>
      </c>
      <c r="F6" s="14">
        <f t="shared" si="0"/>
        <v>65535</v>
      </c>
      <c r="G6" s="16" t="s">
        <v>80</v>
      </c>
      <c r="H6" s="17" t="s">
        <v>137</v>
      </c>
      <c r="I6" s="14">
        <v>500</v>
      </c>
      <c r="J6" s="17" t="s">
        <v>138</v>
      </c>
    </row>
    <row r="7" spans="1:10">
      <c r="A7" s="14">
        <v>2</v>
      </c>
      <c r="B7" s="15" t="s">
        <v>139</v>
      </c>
      <c r="C7" s="14">
        <v>2</v>
      </c>
      <c r="D7" s="14">
        <v>4</v>
      </c>
      <c r="E7" s="14">
        <v>0</v>
      </c>
      <c r="F7" s="14">
        <v>90</v>
      </c>
      <c r="G7" s="17" t="s">
        <v>149</v>
      </c>
      <c r="H7" s="17" t="s">
        <v>140</v>
      </c>
      <c r="I7" s="14">
        <v>0</v>
      </c>
      <c r="J7" s="17" t="s">
        <v>141</v>
      </c>
    </row>
    <row r="8" spans="1:10">
      <c r="A8" s="14">
        <v>3</v>
      </c>
      <c r="B8" s="15" t="s">
        <v>142</v>
      </c>
      <c r="C8" s="14">
        <v>2</v>
      </c>
      <c r="D8" s="14">
        <v>4</v>
      </c>
      <c r="E8" s="14">
        <v>0</v>
      </c>
      <c r="F8" s="14">
        <v>90</v>
      </c>
      <c r="G8" s="17" t="s">
        <v>149</v>
      </c>
      <c r="H8" s="17" t="s">
        <v>143</v>
      </c>
      <c r="I8" s="14">
        <v>30</v>
      </c>
      <c r="J8" s="17" t="s">
        <v>141</v>
      </c>
    </row>
    <row r="9" spans="1:10">
      <c r="A9" s="14">
        <v>4</v>
      </c>
      <c r="B9" s="15" t="s">
        <v>144</v>
      </c>
      <c r="C9" s="14">
        <v>2</v>
      </c>
      <c r="D9" s="14">
        <v>4</v>
      </c>
      <c r="E9" s="14">
        <v>0</v>
      </c>
      <c r="F9" s="14">
        <v>65535</v>
      </c>
      <c r="G9" s="17" t="s">
        <v>13</v>
      </c>
      <c r="H9" s="17" t="s">
        <v>145</v>
      </c>
      <c r="I9" s="14">
        <v>5</v>
      </c>
      <c r="J9" s="17" t="s">
        <v>146</v>
      </c>
    </row>
    <row r="10" spans="1:10">
      <c r="A10" s="14">
        <v>5</v>
      </c>
      <c r="B10" s="15" t="s">
        <v>147</v>
      </c>
      <c r="C10" s="14">
        <v>2</v>
      </c>
      <c r="D10" s="14">
        <v>4</v>
      </c>
      <c r="E10" s="14">
        <v>0</v>
      </c>
      <c r="F10" s="14">
        <v>65535</v>
      </c>
      <c r="G10" s="17" t="s">
        <v>80</v>
      </c>
      <c r="H10" s="17" t="s">
        <v>148</v>
      </c>
      <c r="I10" s="14">
        <v>5</v>
      </c>
      <c r="J10" s="17"/>
    </row>
    <row r="11" spans="1:10">
      <c r="A11" s="14">
        <v>6</v>
      </c>
      <c r="B11" s="15" t="s">
        <v>151</v>
      </c>
      <c r="C11" s="14">
        <v>2</v>
      </c>
      <c r="D11" s="14">
        <v>4</v>
      </c>
      <c r="E11" s="14">
        <v>0</v>
      </c>
      <c r="F11" s="14">
        <v>65535</v>
      </c>
      <c r="G11" s="17" t="s">
        <v>150</v>
      </c>
      <c r="H11" s="17" t="s">
        <v>152</v>
      </c>
      <c r="I11" s="14">
        <v>2475</v>
      </c>
      <c r="J11" s="17"/>
    </row>
    <row r="12" spans="1:10">
      <c r="A12" s="26">
        <v>7</v>
      </c>
      <c r="B12" s="30" t="s">
        <v>153</v>
      </c>
      <c r="C12" s="26">
        <v>2</v>
      </c>
      <c r="D12" s="26">
        <v>4</v>
      </c>
      <c r="E12" s="26">
        <v>0</v>
      </c>
      <c r="F12" s="26">
        <v>65535</v>
      </c>
      <c r="G12" s="28" t="s">
        <v>150</v>
      </c>
      <c r="H12" s="28" t="s">
        <v>154</v>
      </c>
      <c r="I12" s="26">
        <v>600</v>
      </c>
      <c r="J12" s="28"/>
    </row>
  </sheetData>
  <sheetProtection selectLockedCells="1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E382B-0FD0-427D-83F1-A0007F165C51}">
  <sheetPr codeName="Sheet18"/>
  <dimension ref="A1:J10"/>
  <sheetViews>
    <sheetView showGridLines="0" zoomScale="115" zoomScaleNormal="115" workbookViewId="0">
      <selection activeCell="A11" sqref="A11"/>
    </sheetView>
  </sheetViews>
  <sheetFormatPr defaultColWidth="9" defaultRowHeight="15"/>
  <cols>
    <col min="1" max="1" width="4.42578125" style="2" customWidth="1"/>
    <col min="2" max="2" width="20.5703125" style="2" bestFit="1" customWidth="1"/>
    <col min="3" max="3" width="7.7109375" style="2" bestFit="1" customWidth="1"/>
    <col min="4" max="4" width="5.7109375" style="2" bestFit="1" customWidth="1"/>
    <col min="5" max="5" width="5.85546875" style="2" bestFit="1" customWidth="1"/>
    <col min="6" max="6" width="7.42578125" style="2" bestFit="1" customWidth="1"/>
    <col min="7" max="7" width="6.140625" style="3" bestFit="1" customWidth="1"/>
    <col min="8" max="8" width="36.140625" style="3" bestFit="1" customWidth="1"/>
    <col min="9" max="9" width="7.7109375" style="2" bestFit="1" customWidth="1"/>
    <col min="10" max="10" width="30.42578125" style="3" bestFit="1" customWidth="1"/>
    <col min="11" max="11" width="73.140625" style="3" bestFit="1" customWidth="1"/>
    <col min="12" max="16384" width="9" style="3"/>
  </cols>
  <sheetData>
    <row r="1" spans="1:10">
      <c r="A1" s="1" t="s">
        <v>27</v>
      </c>
    </row>
    <row r="2" spans="1:10">
      <c r="A2" s="1" t="s">
        <v>1</v>
      </c>
    </row>
    <row r="3" spans="1:10" ht="18.75">
      <c r="A3" s="4"/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5" t="s">
        <v>8</v>
      </c>
      <c r="I3" s="4" t="s">
        <v>9</v>
      </c>
      <c r="J3" s="5" t="s">
        <v>10</v>
      </c>
    </row>
    <row r="4" spans="1:10">
      <c r="A4" s="6"/>
      <c r="B4" s="6"/>
      <c r="C4" s="6">
        <f>SUM(C5:C11)</f>
        <v>400</v>
      </c>
      <c r="D4" s="6">
        <f>SUM(D5:D11)</f>
        <v>800</v>
      </c>
      <c r="E4" s="6"/>
      <c r="F4" s="6"/>
      <c r="G4" s="7"/>
      <c r="H4" s="7" t="s">
        <v>11</v>
      </c>
      <c r="I4" s="6"/>
      <c r="J4" s="7"/>
    </row>
    <row r="5" spans="1:10">
      <c r="A5" s="8">
        <v>0</v>
      </c>
      <c r="B5" s="9" t="s">
        <v>26</v>
      </c>
      <c r="C5" s="8">
        <v>2</v>
      </c>
      <c r="D5" s="8">
        <v>4</v>
      </c>
      <c r="E5" s="8">
        <v>0</v>
      </c>
      <c r="F5" s="8">
        <f t="shared" ref="F5" si="0">16^D5-1</f>
        <v>65535</v>
      </c>
      <c r="G5" s="10" t="s">
        <v>13</v>
      </c>
      <c r="H5" s="11"/>
      <c r="I5" s="8"/>
      <c r="J5" s="33" t="s">
        <v>23</v>
      </c>
    </row>
    <row r="6" spans="1:10">
      <c r="A6" s="32" t="s">
        <v>13</v>
      </c>
      <c r="B6" s="15" t="s">
        <v>116</v>
      </c>
      <c r="C6" s="14">
        <f>2*198</f>
        <v>396</v>
      </c>
      <c r="D6" s="14">
        <f>C6*2</f>
        <v>792</v>
      </c>
      <c r="E6" s="14">
        <v>0</v>
      </c>
      <c r="F6" s="14"/>
      <c r="G6" s="16" t="s">
        <v>13</v>
      </c>
      <c r="H6" s="17"/>
      <c r="I6" s="14"/>
      <c r="J6" s="31" t="s">
        <v>23</v>
      </c>
    </row>
    <row r="7" spans="1:10">
      <c r="A7" s="26">
        <v>199</v>
      </c>
      <c r="B7" s="30" t="s">
        <v>24</v>
      </c>
      <c r="C7" s="26">
        <v>2</v>
      </c>
      <c r="D7" s="26">
        <v>4</v>
      </c>
      <c r="E7" s="26">
        <v>0</v>
      </c>
      <c r="F7" s="26">
        <f>16^D7-1</f>
        <v>65535</v>
      </c>
      <c r="G7" s="27" t="s">
        <v>13</v>
      </c>
      <c r="H7" s="28"/>
      <c r="I7" s="26"/>
      <c r="J7" s="29" t="s">
        <v>23</v>
      </c>
    </row>
    <row r="9" spans="1:10">
      <c r="A9" s="1" t="s">
        <v>22</v>
      </c>
    </row>
    <row r="10" spans="1:10">
      <c r="A10" s="1" t="s">
        <v>117</v>
      </c>
    </row>
  </sheetData>
  <sheetProtection selectLockedCells="1"/>
  <phoneticPr fontId="3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04BE-7DDD-487E-A099-857DAD395580}">
  <sheetPr codeName="Sheet5"/>
  <dimension ref="A1"/>
  <sheetViews>
    <sheetView workbookViewId="0">
      <selection activeCell="M28" sqref="M28"/>
    </sheetView>
  </sheetViews>
  <sheetFormatPr defaultRowHeight="15"/>
  <sheetData>
    <row r="1" spans="1:1">
      <c r="A1" t="s">
        <v>103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60BF1-AE0B-48A9-9723-A0DAF68B30BA}">
  <sheetPr codeName="Sheet20"/>
  <dimension ref="A1:E256"/>
  <sheetViews>
    <sheetView workbookViewId="0">
      <selection activeCell="B4" sqref="B4"/>
    </sheetView>
  </sheetViews>
  <sheetFormatPr defaultRowHeight="15"/>
  <cols>
    <col min="1" max="1" width="9.140625" style="55"/>
    <col min="2" max="2" width="27" customWidth="1"/>
    <col min="3" max="3" width="2" bestFit="1" customWidth="1"/>
    <col min="4" max="4" width="4" bestFit="1" customWidth="1"/>
  </cols>
  <sheetData>
    <row r="1" spans="1:5">
      <c r="A1" s="55">
        <v>0</v>
      </c>
      <c r="B1" t="s">
        <v>41</v>
      </c>
      <c r="C1" s="58" t="s">
        <v>100</v>
      </c>
      <c r="D1">
        <v>0</v>
      </c>
      <c r="E1" s="58" t="s">
        <v>101</v>
      </c>
    </row>
    <row r="2" spans="1:5">
      <c r="A2" s="55">
        <v>1</v>
      </c>
      <c r="B2" t="s">
        <v>102</v>
      </c>
      <c r="C2" s="58" t="s">
        <v>100</v>
      </c>
      <c r="D2">
        <v>1</v>
      </c>
      <c r="E2" s="58" t="s">
        <v>101</v>
      </c>
    </row>
    <row r="3" spans="1:5">
      <c r="A3" s="55">
        <v>2</v>
      </c>
      <c r="B3" t="s">
        <v>91</v>
      </c>
      <c r="C3" s="58" t="s">
        <v>100</v>
      </c>
      <c r="D3">
        <v>2</v>
      </c>
      <c r="E3" s="58" t="s">
        <v>101</v>
      </c>
    </row>
    <row r="4" spans="1:5">
      <c r="A4" s="55">
        <v>3</v>
      </c>
      <c r="B4" t="s">
        <v>105</v>
      </c>
      <c r="C4" s="58" t="s">
        <v>100</v>
      </c>
      <c r="D4">
        <v>3</v>
      </c>
      <c r="E4" s="58" t="s">
        <v>101</v>
      </c>
    </row>
    <row r="5" spans="1:5">
      <c r="A5" s="55">
        <v>4</v>
      </c>
      <c r="B5" t="s">
        <v>106</v>
      </c>
      <c r="C5" s="58" t="s">
        <v>100</v>
      </c>
      <c r="D5">
        <v>4</v>
      </c>
      <c r="E5" s="58" t="s">
        <v>101</v>
      </c>
    </row>
    <row r="6" spans="1:5">
      <c r="A6" s="55">
        <v>5</v>
      </c>
      <c r="B6" t="s">
        <v>107</v>
      </c>
      <c r="C6" s="58" t="s">
        <v>100</v>
      </c>
      <c r="D6">
        <v>5</v>
      </c>
      <c r="E6" s="58" t="s">
        <v>101</v>
      </c>
    </row>
    <row r="7" spans="1:5">
      <c r="A7" s="55">
        <v>6</v>
      </c>
      <c r="C7" s="58" t="s">
        <v>100</v>
      </c>
      <c r="D7">
        <v>6</v>
      </c>
      <c r="E7" s="58" t="s">
        <v>101</v>
      </c>
    </row>
    <row r="8" spans="1:5">
      <c r="A8" s="55">
        <v>7</v>
      </c>
      <c r="C8" s="58" t="s">
        <v>100</v>
      </c>
      <c r="D8">
        <v>7</v>
      </c>
      <c r="E8" s="58" t="s">
        <v>101</v>
      </c>
    </row>
    <row r="9" spans="1:5">
      <c r="A9" s="55">
        <v>8</v>
      </c>
      <c r="C9" s="58" t="s">
        <v>100</v>
      </c>
      <c r="D9">
        <v>8</v>
      </c>
      <c r="E9" s="58" t="s">
        <v>101</v>
      </c>
    </row>
    <row r="10" spans="1:5">
      <c r="A10" s="55">
        <v>9</v>
      </c>
      <c r="C10" s="58" t="s">
        <v>100</v>
      </c>
      <c r="D10">
        <v>9</v>
      </c>
      <c r="E10" s="58" t="s">
        <v>101</v>
      </c>
    </row>
    <row r="11" spans="1:5">
      <c r="A11" s="55">
        <v>10</v>
      </c>
      <c r="C11" s="58" t="s">
        <v>100</v>
      </c>
      <c r="D11">
        <v>10</v>
      </c>
      <c r="E11" s="58" t="s">
        <v>101</v>
      </c>
    </row>
    <row r="12" spans="1:5">
      <c r="A12" s="55">
        <v>11</v>
      </c>
      <c r="C12" s="58" t="s">
        <v>100</v>
      </c>
      <c r="D12">
        <v>11</v>
      </c>
      <c r="E12" s="58" t="s">
        <v>101</v>
      </c>
    </row>
    <row r="13" spans="1:5">
      <c r="A13" s="55">
        <v>12</v>
      </c>
      <c r="C13" s="58" t="s">
        <v>100</v>
      </c>
      <c r="D13">
        <v>12</v>
      </c>
      <c r="E13" s="58" t="s">
        <v>101</v>
      </c>
    </row>
    <row r="14" spans="1:5">
      <c r="A14" s="55">
        <v>13</v>
      </c>
      <c r="C14" s="58" t="s">
        <v>100</v>
      </c>
      <c r="D14">
        <v>13</v>
      </c>
      <c r="E14" s="58" t="s">
        <v>101</v>
      </c>
    </row>
    <row r="15" spans="1:5">
      <c r="A15" s="55">
        <v>14</v>
      </c>
      <c r="C15" s="58" t="s">
        <v>100</v>
      </c>
      <c r="D15">
        <v>14</v>
      </c>
      <c r="E15" s="58" t="s">
        <v>101</v>
      </c>
    </row>
    <row r="16" spans="1:5">
      <c r="A16" s="55">
        <v>15</v>
      </c>
      <c r="C16" s="58" t="s">
        <v>100</v>
      </c>
      <c r="D16">
        <v>15</v>
      </c>
      <c r="E16" s="58" t="s">
        <v>101</v>
      </c>
    </row>
    <row r="17" spans="1:5">
      <c r="A17" s="55">
        <v>16</v>
      </c>
      <c r="C17" s="58" t="s">
        <v>100</v>
      </c>
      <c r="D17">
        <v>16</v>
      </c>
      <c r="E17" s="58" t="s">
        <v>101</v>
      </c>
    </row>
    <row r="18" spans="1:5">
      <c r="A18" s="55">
        <v>17</v>
      </c>
      <c r="C18" s="58" t="s">
        <v>100</v>
      </c>
      <c r="D18">
        <v>17</v>
      </c>
      <c r="E18" s="58" t="s">
        <v>101</v>
      </c>
    </row>
    <row r="19" spans="1:5">
      <c r="A19" s="55">
        <v>18</v>
      </c>
      <c r="C19" s="58" t="s">
        <v>100</v>
      </c>
      <c r="D19">
        <v>18</v>
      </c>
      <c r="E19" s="58" t="s">
        <v>101</v>
      </c>
    </row>
    <row r="20" spans="1:5">
      <c r="A20" s="55">
        <v>19</v>
      </c>
      <c r="C20" s="58" t="s">
        <v>100</v>
      </c>
      <c r="D20">
        <v>19</v>
      </c>
      <c r="E20" s="58" t="s">
        <v>101</v>
      </c>
    </row>
    <row r="21" spans="1:5">
      <c r="A21" s="55">
        <v>20</v>
      </c>
      <c r="C21" s="58" t="s">
        <v>100</v>
      </c>
      <c r="D21">
        <v>20</v>
      </c>
      <c r="E21" s="58" t="s">
        <v>101</v>
      </c>
    </row>
    <row r="22" spans="1:5">
      <c r="A22" s="55">
        <v>21</v>
      </c>
      <c r="C22" s="58" t="s">
        <v>100</v>
      </c>
      <c r="D22">
        <v>21</v>
      </c>
      <c r="E22" s="58" t="s">
        <v>101</v>
      </c>
    </row>
    <row r="23" spans="1:5">
      <c r="A23" s="55">
        <v>22</v>
      </c>
      <c r="C23" s="58" t="s">
        <v>100</v>
      </c>
      <c r="D23">
        <v>22</v>
      </c>
      <c r="E23" s="58" t="s">
        <v>101</v>
      </c>
    </row>
    <row r="24" spans="1:5">
      <c r="A24" s="55">
        <v>23</v>
      </c>
      <c r="C24" s="58" t="s">
        <v>100</v>
      </c>
      <c r="D24">
        <v>23</v>
      </c>
      <c r="E24" s="58" t="s">
        <v>101</v>
      </c>
    </row>
    <row r="25" spans="1:5">
      <c r="A25" s="55">
        <v>24</v>
      </c>
      <c r="C25" s="58" t="s">
        <v>100</v>
      </c>
      <c r="D25">
        <v>24</v>
      </c>
      <c r="E25" s="58" t="s">
        <v>101</v>
      </c>
    </row>
    <row r="26" spans="1:5">
      <c r="A26" s="55">
        <v>25</v>
      </c>
      <c r="C26" s="58" t="s">
        <v>100</v>
      </c>
      <c r="D26">
        <v>25</v>
      </c>
      <c r="E26" s="58" t="s">
        <v>101</v>
      </c>
    </row>
    <row r="27" spans="1:5">
      <c r="A27" s="55">
        <v>26</v>
      </c>
      <c r="C27" s="58" t="s">
        <v>100</v>
      </c>
      <c r="D27">
        <v>26</v>
      </c>
      <c r="E27" s="58" t="s">
        <v>101</v>
      </c>
    </row>
    <row r="28" spans="1:5">
      <c r="A28" s="55">
        <v>27</v>
      </c>
      <c r="C28" s="58" t="s">
        <v>100</v>
      </c>
      <c r="D28">
        <v>27</v>
      </c>
      <c r="E28" s="58" t="s">
        <v>101</v>
      </c>
    </row>
    <row r="29" spans="1:5">
      <c r="A29" s="55">
        <v>28</v>
      </c>
      <c r="C29" s="58" t="s">
        <v>100</v>
      </c>
      <c r="D29">
        <v>28</v>
      </c>
      <c r="E29" s="58" t="s">
        <v>101</v>
      </c>
    </row>
    <row r="30" spans="1:5">
      <c r="A30" s="55">
        <v>29</v>
      </c>
      <c r="C30" s="58" t="s">
        <v>100</v>
      </c>
      <c r="D30">
        <v>29</v>
      </c>
      <c r="E30" s="58" t="s">
        <v>101</v>
      </c>
    </row>
    <row r="31" spans="1:5">
      <c r="A31" s="55">
        <v>30</v>
      </c>
      <c r="C31" s="58" t="s">
        <v>100</v>
      </c>
      <c r="D31">
        <v>30</v>
      </c>
      <c r="E31" s="58" t="s">
        <v>101</v>
      </c>
    </row>
    <row r="32" spans="1:5">
      <c r="A32" s="55">
        <v>31</v>
      </c>
      <c r="C32" s="58" t="s">
        <v>100</v>
      </c>
      <c r="D32">
        <v>31</v>
      </c>
      <c r="E32" s="58" t="s">
        <v>101</v>
      </c>
    </row>
    <row r="33" spans="1:5">
      <c r="A33" s="55">
        <v>32</v>
      </c>
      <c r="C33" s="58" t="s">
        <v>100</v>
      </c>
      <c r="D33">
        <v>32</v>
      </c>
      <c r="E33" s="58" t="s">
        <v>101</v>
      </c>
    </row>
    <row r="34" spans="1:5">
      <c r="A34" s="55">
        <v>33</v>
      </c>
      <c r="C34" s="58" t="s">
        <v>100</v>
      </c>
      <c r="D34">
        <v>33</v>
      </c>
      <c r="E34" s="58" t="s">
        <v>101</v>
      </c>
    </row>
    <row r="35" spans="1:5">
      <c r="A35" s="55">
        <v>34</v>
      </c>
      <c r="C35" s="58" t="s">
        <v>100</v>
      </c>
      <c r="D35">
        <v>34</v>
      </c>
      <c r="E35" s="58" t="s">
        <v>101</v>
      </c>
    </row>
    <row r="36" spans="1:5">
      <c r="A36" s="55">
        <v>35</v>
      </c>
      <c r="C36" s="58" t="s">
        <v>100</v>
      </c>
      <c r="D36">
        <v>35</v>
      </c>
      <c r="E36" s="58" t="s">
        <v>101</v>
      </c>
    </row>
    <row r="37" spans="1:5">
      <c r="A37" s="55">
        <v>36</v>
      </c>
      <c r="C37" s="58" t="s">
        <v>100</v>
      </c>
      <c r="D37">
        <v>36</v>
      </c>
      <c r="E37" s="58" t="s">
        <v>101</v>
      </c>
    </row>
    <row r="38" spans="1:5">
      <c r="A38" s="55">
        <v>37</v>
      </c>
      <c r="C38" s="58" t="s">
        <v>100</v>
      </c>
      <c r="D38">
        <v>37</v>
      </c>
      <c r="E38" s="58" t="s">
        <v>101</v>
      </c>
    </row>
    <row r="39" spans="1:5">
      <c r="A39" s="55">
        <v>38</v>
      </c>
      <c r="C39" s="58" t="s">
        <v>100</v>
      </c>
      <c r="D39">
        <v>38</v>
      </c>
      <c r="E39" s="58" t="s">
        <v>101</v>
      </c>
    </row>
    <row r="40" spans="1:5">
      <c r="A40" s="55">
        <v>39</v>
      </c>
      <c r="C40" s="58" t="s">
        <v>100</v>
      </c>
      <c r="D40">
        <v>39</v>
      </c>
      <c r="E40" s="58" t="s">
        <v>101</v>
      </c>
    </row>
    <row r="41" spans="1:5">
      <c r="A41" s="55">
        <v>40</v>
      </c>
      <c r="C41" s="58" t="s">
        <v>100</v>
      </c>
      <c r="D41">
        <v>40</v>
      </c>
      <c r="E41" s="58" t="s">
        <v>101</v>
      </c>
    </row>
    <row r="42" spans="1:5">
      <c r="A42" s="55">
        <v>41</v>
      </c>
      <c r="C42" s="58" t="s">
        <v>100</v>
      </c>
      <c r="D42">
        <v>41</v>
      </c>
      <c r="E42" s="58" t="s">
        <v>101</v>
      </c>
    </row>
    <row r="43" spans="1:5">
      <c r="A43" s="55">
        <v>42</v>
      </c>
      <c r="C43" s="58" t="s">
        <v>100</v>
      </c>
      <c r="D43">
        <v>42</v>
      </c>
      <c r="E43" s="58" t="s">
        <v>101</v>
      </c>
    </row>
    <row r="44" spans="1:5">
      <c r="A44" s="55">
        <v>43</v>
      </c>
      <c r="C44" s="58" t="s">
        <v>100</v>
      </c>
      <c r="D44">
        <v>43</v>
      </c>
      <c r="E44" s="58" t="s">
        <v>101</v>
      </c>
    </row>
    <row r="45" spans="1:5">
      <c r="A45" s="55">
        <v>44</v>
      </c>
      <c r="C45" s="58" t="s">
        <v>100</v>
      </c>
      <c r="D45">
        <v>44</v>
      </c>
      <c r="E45" s="58" t="s">
        <v>101</v>
      </c>
    </row>
    <row r="46" spans="1:5">
      <c r="A46" s="55">
        <v>45</v>
      </c>
      <c r="C46" s="58" t="s">
        <v>100</v>
      </c>
      <c r="D46">
        <v>45</v>
      </c>
      <c r="E46" s="58" t="s">
        <v>101</v>
      </c>
    </row>
    <row r="47" spans="1:5">
      <c r="A47" s="55">
        <v>46</v>
      </c>
      <c r="C47" s="58" t="s">
        <v>100</v>
      </c>
      <c r="D47">
        <v>46</v>
      </c>
      <c r="E47" s="58" t="s">
        <v>101</v>
      </c>
    </row>
    <row r="48" spans="1:5">
      <c r="A48" s="55">
        <v>47</v>
      </c>
      <c r="C48" s="58" t="s">
        <v>100</v>
      </c>
      <c r="D48">
        <v>47</v>
      </c>
      <c r="E48" s="58" t="s">
        <v>101</v>
      </c>
    </row>
    <row r="49" spans="1:5">
      <c r="A49" s="55">
        <v>48</v>
      </c>
      <c r="C49" s="58" t="s">
        <v>100</v>
      </c>
      <c r="D49">
        <v>48</v>
      </c>
      <c r="E49" s="58" t="s">
        <v>101</v>
      </c>
    </row>
    <row r="50" spans="1:5">
      <c r="A50" s="55">
        <v>49</v>
      </c>
      <c r="C50" s="58" t="s">
        <v>100</v>
      </c>
      <c r="D50">
        <v>49</v>
      </c>
      <c r="E50" s="58" t="s">
        <v>101</v>
      </c>
    </row>
    <row r="51" spans="1:5">
      <c r="A51" s="55">
        <v>50</v>
      </c>
      <c r="C51" s="58" t="s">
        <v>100</v>
      </c>
      <c r="D51">
        <v>50</v>
      </c>
      <c r="E51" s="58" t="s">
        <v>101</v>
      </c>
    </row>
    <row r="52" spans="1:5">
      <c r="A52" s="55">
        <v>51</v>
      </c>
      <c r="C52" s="58" t="s">
        <v>100</v>
      </c>
      <c r="D52">
        <v>51</v>
      </c>
      <c r="E52" s="58" t="s">
        <v>101</v>
      </c>
    </row>
    <row r="53" spans="1:5">
      <c r="A53" s="55">
        <v>52</v>
      </c>
      <c r="C53" s="58" t="s">
        <v>100</v>
      </c>
      <c r="D53">
        <v>52</v>
      </c>
      <c r="E53" s="58" t="s">
        <v>101</v>
      </c>
    </row>
    <row r="54" spans="1:5">
      <c r="A54" s="55">
        <v>53</v>
      </c>
      <c r="C54" s="58" t="s">
        <v>100</v>
      </c>
      <c r="D54">
        <v>53</v>
      </c>
      <c r="E54" s="58" t="s">
        <v>101</v>
      </c>
    </row>
    <row r="55" spans="1:5">
      <c r="A55" s="55">
        <v>54</v>
      </c>
      <c r="C55" s="58" t="s">
        <v>100</v>
      </c>
      <c r="D55">
        <v>54</v>
      </c>
      <c r="E55" s="58" t="s">
        <v>101</v>
      </c>
    </row>
    <row r="56" spans="1:5">
      <c r="A56" s="55">
        <v>55</v>
      </c>
      <c r="C56" s="58" t="s">
        <v>100</v>
      </c>
      <c r="D56">
        <v>55</v>
      </c>
      <c r="E56" s="58" t="s">
        <v>101</v>
      </c>
    </row>
    <row r="57" spans="1:5">
      <c r="A57" s="55">
        <v>56</v>
      </c>
      <c r="C57" s="58" t="s">
        <v>100</v>
      </c>
      <c r="D57">
        <v>56</v>
      </c>
      <c r="E57" s="58" t="s">
        <v>101</v>
      </c>
    </row>
    <row r="58" spans="1:5">
      <c r="A58" s="55">
        <v>57</v>
      </c>
      <c r="C58" s="58" t="s">
        <v>100</v>
      </c>
      <c r="D58">
        <v>57</v>
      </c>
      <c r="E58" s="58" t="s">
        <v>101</v>
      </c>
    </row>
    <row r="59" spans="1:5">
      <c r="A59" s="55">
        <v>58</v>
      </c>
      <c r="C59" s="58" t="s">
        <v>100</v>
      </c>
      <c r="D59">
        <v>58</v>
      </c>
      <c r="E59" s="58" t="s">
        <v>101</v>
      </c>
    </row>
    <row r="60" spans="1:5">
      <c r="A60" s="55">
        <v>59</v>
      </c>
      <c r="C60" s="58" t="s">
        <v>100</v>
      </c>
      <c r="D60">
        <v>59</v>
      </c>
      <c r="E60" s="58" t="s">
        <v>101</v>
      </c>
    </row>
    <row r="61" spans="1:5">
      <c r="A61" s="55">
        <v>60</v>
      </c>
      <c r="C61" s="58" t="s">
        <v>100</v>
      </c>
      <c r="D61">
        <v>60</v>
      </c>
      <c r="E61" s="58" t="s">
        <v>101</v>
      </c>
    </row>
    <row r="62" spans="1:5">
      <c r="A62" s="55">
        <v>61</v>
      </c>
      <c r="C62" s="58" t="s">
        <v>100</v>
      </c>
      <c r="D62">
        <v>61</v>
      </c>
      <c r="E62" s="58" t="s">
        <v>101</v>
      </c>
    </row>
    <row r="63" spans="1:5">
      <c r="A63" s="55">
        <v>62</v>
      </c>
      <c r="C63" s="58" t="s">
        <v>100</v>
      </c>
      <c r="D63">
        <v>62</v>
      </c>
      <c r="E63" s="58" t="s">
        <v>101</v>
      </c>
    </row>
    <row r="64" spans="1:5">
      <c r="A64" s="55">
        <v>63</v>
      </c>
      <c r="C64" s="58" t="s">
        <v>100</v>
      </c>
      <c r="D64">
        <v>63</v>
      </c>
      <c r="E64" s="58" t="s">
        <v>101</v>
      </c>
    </row>
    <row r="65" spans="1:5">
      <c r="A65" s="55">
        <v>64</v>
      </c>
      <c r="C65" s="58" t="s">
        <v>100</v>
      </c>
      <c r="D65">
        <v>64</v>
      </c>
      <c r="E65" s="58" t="s">
        <v>101</v>
      </c>
    </row>
    <row r="66" spans="1:5">
      <c r="A66" s="55">
        <v>65</v>
      </c>
      <c r="C66" s="58" t="s">
        <v>100</v>
      </c>
      <c r="D66">
        <v>65</v>
      </c>
      <c r="E66" s="58" t="s">
        <v>101</v>
      </c>
    </row>
    <row r="67" spans="1:5">
      <c r="A67" s="55">
        <v>66</v>
      </c>
      <c r="C67" s="58" t="s">
        <v>100</v>
      </c>
      <c r="D67">
        <v>66</v>
      </c>
      <c r="E67" s="58" t="s">
        <v>101</v>
      </c>
    </row>
    <row r="68" spans="1:5">
      <c r="A68" s="55">
        <v>67</v>
      </c>
      <c r="C68" s="58" t="s">
        <v>100</v>
      </c>
      <c r="D68">
        <v>67</v>
      </c>
      <c r="E68" s="58" t="s">
        <v>101</v>
      </c>
    </row>
    <row r="69" spans="1:5">
      <c r="A69" s="55">
        <v>68</v>
      </c>
      <c r="C69" s="58" t="s">
        <v>100</v>
      </c>
      <c r="D69">
        <v>68</v>
      </c>
      <c r="E69" s="58" t="s">
        <v>101</v>
      </c>
    </row>
    <row r="70" spans="1:5">
      <c r="A70" s="55">
        <v>69</v>
      </c>
      <c r="C70" s="58" t="s">
        <v>100</v>
      </c>
      <c r="D70">
        <v>69</v>
      </c>
      <c r="E70" s="58" t="s">
        <v>101</v>
      </c>
    </row>
    <row r="71" spans="1:5">
      <c r="A71" s="55">
        <v>70</v>
      </c>
      <c r="C71" s="58" t="s">
        <v>100</v>
      </c>
      <c r="D71">
        <v>70</v>
      </c>
      <c r="E71" s="58" t="s">
        <v>101</v>
      </c>
    </row>
    <row r="72" spans="1:5">
      <c r="A72" s="55">
        <v>71</v>
      </c>
      <c r="C72" s="58" t="s">
        <v>100</v>
      </c>
      <c r="D72">
        <v>71</v>
      </c>
      <c r="E72" s="58" t="s">
        <v>101</v>
      </c>
    </row>
    <row r="73" spans="1:5">
      <c r="A73" s="55">
        <v>72</v>
      </c>
      <c r="C73" s="58" t="s">
        <v>100</v>
      </c>
      <c r="D73">
        <v>72</v>
      </c>
      <c r="E73" s="58" t="s">
        <v>101</v>
      </c>
    </row>
    <row r="74" spans="1:5">
      <c r="A74" s="55">
        <v>73</v>
      </c>
      <c r="C74" s="58" t="s">
        <v>100</v>
      </c>
      <c r="D74">
        <v>73</v>
      </c>
      <c r="E74" s="58" t="s">
        <v>101</v>
      </c>
    </row>
    <row r="75" spans="1:5">
      <c r="A75" s="55">
        <v>74</v>
      </c>
      <c r="C75" s="58" t="s">
        <v>100</v>
      </c>
      <c r="D75">
        <v>74</v>
      </c>
      <c r="E75" s="58" t="s">
        <v>101</v>
      </c>
    </row>
    <row r="76" spans="1:5">
      <c r="A76" s="55">
        <v>75</v>
      </c>
      <c r="C76" s="58" t="s">
        <v>100</v>
      </c>
      <c r="D76">
        <v>75</v>
      </c>
      <c r="E76" s="58" t="s">
        <v>101</v>
      </c>
    </row>
    <row r="77" spans="1:5">
      <c r="A77" s="55">
        <v>76</v>
      </c>
      <c r="C77" s="58" t="s">
        <v>100</v>
      </c>
      <c r="D77">
        <v>76</v>
      </c>
      <c r="E77" s="58" t="s">
        <v>101</v>
      </c>
    </row>
    <row r="78" spans="1:5">
      <c r="A78" s="55">
        <v>77</v>
      </c>
      <c r="C78" s="58" t="s">
        <v>100</v>
      </c>
      <c r="D78">
        <v>77</v>
      </c>
      <c r="E78" s="58" t="s">
        <v>101</v>
      </c>
    </row>
    <row r="79" spans="1:5">
      <c r="A79" s="55">
        <v>78</v>
      </c>
      <c r="C79" s="58" t="s">
        <v>100</v>
      </c>
      <c r="D79">
        <v>78</v>
      </c>
      <c r="E79" s="58" t="s">
        <v>101</v>
      </c>
    </row>
    <row r="80" spans="1:5">
      <c r="A80" s="55">
        <v>79</v>
      </c>
      <c r="C80" s="58" t="s">
        <v>100</v>
      </c>
      <c r="D80">
        <v>79</v>
      </c>
      <c r="E80" s="58" t="s">
        <v>101</v>
      </c>
    </row>
    <row r="81" spans="1:5">
      <c r="A81" s="55">
        <v>80</v>
      </c>
      <c r="C81" s="58" t="s">
        <v>100</v>
      </c>
      <c r="D81">
        <v>80</v>
      </c>
      <c r="E81" s="58" t="s">
        <v>101</v>
      </c>
    </row>
    <row r="82" spans="1:5">
      <c r="A82" s="55">
        <v>81</v>
      </c>
      <c r="C82" s="58" t="s">
        <v>100</v>
      </c>
      <c r="D82">
        <v>81</v>
      </c>
      <c r="E82" s="58" t="s">
        <v>101</v>
      </c>
    </row>
    <row r="83" spans="1:5">
      <c r="A83" s="55">
        <v>82</v>
      </c>
      <c r="C83" s="58" t="s">
        <v>100</v>
      </c>
      <c r="D83">
        <v>82</v>
      </c>
      <c r="E83" s="58" t="s">
        <v>101</v>
      </c>
    </row>
    <row r="84" spans="1:5">
      <c r="A84" s="55">
        <v>83</v>
      </c>
      <c r="C84" s="58" t="s">
        <v>100</v>
      </c>
      <c r="D84">
        <v>83</v>
      </c>
      <c r="E84" s="58" t="s">
        <v>101</v>
      </c>
    </row>
    <row r="85" spans="1:5">
      <c r="A85" s="55">
        <v>84</v>
      </c>
      <c r="C85" s="58" t="s">
        <v>100</v>
      </c>
      <c r="D85">
        <v>84</v>
      </c>
      <c r="E85" s="58" t="s">
        <v>101</v>
      </c>
    </row>
    <row r="86" spans="1:5">
      <c r="A86" s="55">
        <v>85</v>
      </c>
      <c r="C86" s="58" t="s">
        <v>100</v>
      </c>
      <c r="D86">
        <v>85</v>
      </c>
      <c r="E86" s="58" t="s">
        <v>101</v>
      </c>
    </row>
    <row r="87" spans="1:5">
      <c r="A87" s="55">
        <v>86</v>
      </c>
      <c r="C87" s="58" t="s">
        <v>100</v>
      </c>
      <c r="D87">
        <v>86</v>
      </c>
      <c r="E87" s="58" t="s">
        <v>101</v>
      </c>
    </row>
    <row r="88" spans="1:5">
      <c r="A88" s="55">
        <v>87</v>
      </c>
      <c r="C88" s="58" t="s">
        <v>100</v>
      </c>
      <c r="D88">
        <v>87</v>
      </c>
      <c r="E88" s="58" t="s">
        <v>101</v>
      </c>
    </row>
    <row r="89" spans="1:5">
      <c r="A89" s="55">
        <v>88</v>
      </c>
      <c r="C89" s="58" t="s">
        <v>100</v>
      </c>
      <c r="D89">
        <v>88</v>
      </c>
      <c r="E89" s="58" t="s">
        <v>101</v>
      </c>
    </row>
    <row r="90" spans="1:5">
      <c r="A90" s="55">
        <v>89</v>
      </c>
      <c r="C90" s="58" t="s">
        <v>100</v>
      </c>
      <c r="D90">
        <v>89</v>
      </c>
      <c r="E90" s="58" t="s">
        <v>101</v>
      </c>
    </row>
    <row r="91" spans="1:5">
      <c r="A91" s="55">
        <v>90</v>
      </c>
      <c r="C91" s="58" t="s">
        <v>100</v>
      </c>
      <c r="D91">
        <v>90</v>
      </c>
      <c r="E91" s="58" t="s">
        <v>101</v>
      </c>
    </row>
    <row r="92" spans="1:5">
      <c r="A92" s="55">
        <v>91</v>
      </c>
      <c r="C92" s="58" t="s">
        <v>100</v>
      </c>
      <c r="D92">
        <v>91</v>
      </c>
      <c r="E92" s="58" t="s">
        <v>101</v>
      </c>
    </row>
    <row r="93" spans="1:5">
      <c r="A93" s="55">
        <v>92</v>
      </c>
      <c r="C93" s="58" t="s">
        <v>100</v>
      </c>
      <c r="D93">
        <v>92</v>
      </c>
      <c r="E93" s="58" t="s">
        <v>101</v>
      </c>
    </row>
    <row r="94" spans="1:5">
      <c r="A94" s="55">
        <v>93</v>
      </c>
      <c r="C94" s="58" t="s">
        <v>100</v>
      </c>
      <c r="D94">
        <v>93</v>
      </c>
      <c r="E94" s="58" t="s">
        <v>101</v>
      </c>
    </row>
    <row r="95" spans="1:5">
      <c r="A95" s="55">
        <v>94</v>
      </c>
      <c r="C95" s="58" t="s">
        <v>100</v>
      </c>
      <c r="D95">
        <v>94</v>
      </c>
      <c r="E95" s="58" t="s">
        <v>101</v>
      </c>
    </row>
    <row r="96" spans="1:5">
      <c r="A96" s="55">
        <v>95</v>
      </c>
      <c r="C96" s="58" t="s">
        <v>100</v>
      </c>
      <c r="D96">
        <v>95</v>
      </c>
      <c r="E96" s="58" t="s">
        <v>101</v>
      </c>
    </row>
    <row r="97" spans="1:5">
      <c r="A97" s="55">
        <v>96</v>
      </c>
      <c r="C97" s="58" t="s">
        <v>100</v>
      </c>
      <c r="D97">
        <v>96</v>
      </c>
      <c r="E97" s="58" t="s">
        <v>101</v>
      </c>
    </row>
    <row r="98" spans="1:5">
      <c r="A98" s="55">
        <v>97</v>
      </c>
      <c r="C98" s="58" t="s">
        <v>100</v>
      </c>
      <c r="D98">
        <v>97</v>
      </c>
      <c r="E98" s="58" t="s">
        <v>101</v>
      </c>
    </row>
    <row r="99" spans="1:5">
      <c r="A99" s="55">
        <v>98</v>
      </c>
      <c r="C99" s="58" t="s">
        <v>100</v>
      </c>
      <c r="D99">
        <v>98</v>
      </c>
      <c r="E99" s="58" t="s">
        <v>101</v>
      </c>
    </row>
    <row r="100" spans="1:5">
      <c r="A100" s="55">
        <v>99</v>
      </c>
      <c r="C100" s="58" t="s">
        <v>100</v>
      </c>
      <c r="D100">
        <v>99</v>
      </c>
      <c r="E100" s="58" t="s">
        <v>101</v>
      </c>
    </row>
    <row r="101" spans="1:5">
      <c r="A101" s="55">
        <v>100</v>
      </c>
      <c r="C101" s="58" t="s">
        <v>100</v>
      </c>
      <c r="D101">
        <v>100</v>
      </c>
      <c r="E101" s="58" t="s">
        <v>101</v>
      </c>
    </row>
    <row r="102" spans="1:5">
      <c r="A102" s="55">
        <v>101</v>
      </c>
      <c r="C102" s="58" t="s">
        <v>100</v>
      </c>
      <c r="D102">
        <v>101</v>
      </c>
      <c r="E102" s="58" t="s">
        <v>101</v>
      </c>
    </row>
    <row r="103" spans="1:5">
      <c r="A103" s="55">
        <v>102</v>
      </c>
      <c r="C103" s="58" t="s">
        <v>100</v>
      </c>
      <c r="D103">
        <v>102</v>
      </c>
      <c r="E103" s="58" t="s">
        <v>101</v>
      </c>
    </row>
    <row r="104" spans="1:5">
      <c r="A104" s="55">
        <v>103</v>
      </c>
      <c r="C104" s="58" t="s">
        <v>100</v>
      </c>
      <c r="D104">
        <v>103</v>
      </c>
      <c r="E104" s="58" t="s">
        <v>101</v>
      </c>
    </row>
    <row r="105" spans="1:5">
      <c r="A105" s="55">
        <v>104</v>
      </c>
      <c r="C105" s="58" t="s">
        <v>100</v>
      </c>
      <c r="D105">
        <v>104</v>
      </c>
      <c r="E105" s="58" t="s">
        <v>101</v>
      </c>
    </row>
    <row r="106" spans="1:5">
      <c r="A106" s="55">
        <v>105</v>
      </c>
      <c r="C106" s="58" t="s">
        <v>100</v>
      </c>
      <c r="D106">
        <v>105</v>
      </c>
      <c r="E106" s="58" t="s">
        <v>101</v>
      </c>
    </row>
    <row r="107" spans="1:5">
      <c r="A107" s="55">
        <v>106</v>
      </c>
      <c r="C107" s="58" t="s">
        <v>100</v>
      </c>
      <c r="D107">
        <v>106</v>
      </c>
      <c r="E107" s="58" t="s">
        <v>101</v>
      </c>
    </row>
    <row r="108" spans="1:5">
      <c r="A108" s="55">
        <v>107</v>
      </c>
      <c r="C108" s="58" t="s">
        <v>100</v>
      </c>
      <c r="D108">
        <v>107</v>
      </c>
      <c r="E108" s="58" t="s">
        <v>101</v>
      </c>
    </row>
    <row r="109" spans="1:5">
      <c r="A109" s="55">
        <v>108</v>
      </c>
      <c r="C109" s="58" t="s">
        <v>100</v>
      </c>
      <c r="D109">
        <v>108</v>
      </c>
      <c r="E109" s="58" t="s">
        <v>101</v>
      </c>
    </row>
    <row r="110" spans="1:5">
      <c r="A110" s="55">
        <v>109</v>
      </c>
      <c r="C110" s="58" t="s">
        <v>100</v>
      </c>
      <c r="D110">
        <v>109</v>
      </c>
      <c r="E110" s="58" t="s">
        <v>101</v>
      </c>
    </row>
    <row r="111" spans="1:5">
      <c r="A111" s="55">
        <v>110</v>
      </c>
      <c r="C111" s="58" t="s">
        <v>100</v>
      </c>
      <c r="D111">
        <v>110</v>
      </c>
      <c r="E111" s="58" t="s">
        <v>101</v>
      </c>
    </row>
    <row r="112" spans="1:5">
      <c r="A112" s="55">
        <v>111</v>
      </c>
      <c r="C112" s="58" t="s">
        <v>100</v>
      </c>
      <c r="D112">
        <v>111</v>
      </c>
      <c r="E112" s="58" t="s">
        <v>101</v>
      </c>
    </row>
    <row r="113" spans="1:5">
      <c r="A113" s="55">
        <v>112</v>
      </c>
      <c r="C113" s="58" t="s">
        <v>100</v>
      </c>
      <c r="D113">
        <v>112</v>
      </c>
      <c r="E113" s="58" t="s">
        <v>101</v>
      </c>
    </row>
    <row r="114" spans="1:5">
      <c r="A114" s="55">
        <v>113</v>
      </c>
      <c r="C114" s="58" t="s">
        <v>100</v>
      </c>
      <c r="D114">
        <v>113</v>
      </c>
      <c r="E114" s="58" t="s">
        <v>101</v>
      </c>
    </row>
    <row r="115" spans="1:5">
      <c r="A115" s="55">
        <v>114</v>
      </c>
      <c r="C115" s="58" t="s">
        <v>100</v>
      </c>
      <c r="D115">
        <v>114</v>
      </c>
      <c r="E115" s="58" t="s">
        <v>101</v>
      </c>
    </row>
    <row r="116" spans="1:5">
      <c r="A116" s="55">
        <v>115</v>
      </c>
      <c r="C116" s="58" t="s">
        <v>100</v>
      </c>
      <c r="D116">
        <v>115</v>
      </c>
      <c r="E116" s="58" t="s">
        <v>101</v>
      </c>
    </row>
    <row r="117" spans="1:5">
      <c r="A117" s="55">
        <v>116</v>
      </c>
      <c r="C117" s="58" t="s">
        <v>100</v>
      </c>
      <c r="D117">
        <v>116</v>
      </c>
      <c r="E117" s="58" t="s">
        <v>101</v>
      </c>
    </row>
    <row r="118" spans="1:5">
      <c r="A118" s="55">
        <v>117</v>
      </c>
      <c r="C118" s="58" t="s">
        <v>100</v>
      </c>
      <c r="D118">
        <v>117</v>
      </c>
      <c r="E118" s="58" t="s">
        <v>101</v>
      </c>
    </row>
    <row r="119" spans="1:5">
      <c r="A119" s="55">
        <v>118</v>
      </c>
      <c r="C119" s="58" t="s">
        <v>100</v>
      </c>
      <c r="D119">
        <v>118</v>
      </c>
      <c r="E119" s="58" t="s">
        <v>101</v>
      </c>
    </row>
    <row r="120" spans="1:5">
      <c r="A120" s="55">
        <v>119</v>
      </c>
      <c r="C120" s="58" t="s">
        <v>100</v>
      </c>
      <c r="D120">
        <v>119</v>
      </c>
      <c r="E120" s="58" t="s">
        <v>101</v>
      </c>
    </row>
    <row r="121" spans="1:5">
      <c r="A121" s="55">
        <v>120</v>
      </c>
      <c r="C121" s="58" t="s">
        <v>100</v>
      </c>
      <c r="D121">
        <v>120</v>
      </c>
      <c r="E121" s="58" t="s">
        <v>101</v>
      </c>
    </row>
    <row r="122" spans="1:5">
      <c r="A122" s="55">
        <v>121</v>
      </c>
      <c r="C122" s="58" t="s">
        <v>100</v>
      </c>
      <c r="D122">
        <v>121</v>
      </c>
      <c r="E122" s="58" t="s">
        <v>101</v>
      </c>
    </row>
    <row r="123" spans="1:5">
      <c r="A123" s="55">
        <v>122</v>
      </c>
      <c r="C123" s="58" t="s">
        <v>100</v>
      </c>
      <c r="D123">
        <v>122</v>
      </c>
      <c r="E123" s="58" t="s">
        <v>101</v>
      </c>
    </row>
    <row r="124" spans="1:5">
      <c r="A124" s="55">
        <v>123</v>
      </c>
      <c r="C124" s="58" t="s">
        <v>100</v>
      </c>
      <c r="D124">
        <v>123</v>
      </c>
      <c r="E124" s="58" t="s">
        <v>101</v>
      </c>
    </row>
    <row r="125" spans="1:5">
      <c r="A125" s="55">
        <v>124</v>
      </c>
      <c r="C125" s="58" t="s">
        <v>100</v>
      </c>
      <c r="D125">
        <v>124</v>
      </c>
      <c r="E125" s="58" t="s">
        <v>101</v>
      </c>
    </row>
    <row r="126" spans="1:5">
      <c r="A126" s="55">
        <v>125</v>
      </c>
      <c r="C126" s="58" t="s">
        <v>100</v>
      </c>
      <c r="D126">
        <v>125</v>
      </c>
      <c r="E126" s="58" t="s">
        <v>101</v>
      </c>
    </row>
    <row r="127" spans="1:5">
      <c r="A127" s="55">
        <v>126</v>
      </c>
      <c r="C127" s="58" t="s">
        <v>100</v>
      </c>
      <c r="D127">
        <v>126</v>
      </c>
      <c r="E127" s="58" t="s">
        <v>101</v>
      </c>
    </row>
    <row r="128" spans="1:5">
      <c r="A128" s="55">
        <v>127</v>
      </c>
      <c r="C128" s="58" t="s">
        <v>100</v>
      </c>
      <c r="D128">
        <v>127</v>
      </c>
      <c r="E128" s="58" t="s">
        <v>101</v>
      </c>
    </row>
    <row r="129" spans="1:5">
      <c r="A129" s="55">
        <v>128</v>
      </c>
      <c r="C129" s="58" t="s">
        <v>100</v>
      </c>
      <c r="D129">
        <v>128</v>
      </c>
      <c r="E129" s="58" t="s">
        <v>101</v>
      </c>
    </row>
    <row r="130" spans="1:5">
      <c r="A130" s="55">
        <v>129</v>
      </c>
      <c r="C130" s="58" t="s">
        <v>100</v>
      </c>
      <c r="D130">
        <v>129</v>
      </c>
      <c r="E130" s="58" t="s">
        <v>101</v>
      </c>
    </row>
    <row r="131" spans="1:5">
      <c r="A131" s="55">
        <v>130</v>
      </c>
      <c r="C131" s="58" t="s">
        <v>100</v>
      </c>
      <c r="D131">
        <v>130</v>
      </c>
      <c r="E131" s="58" t="s">
        <v>101</v>
      </c>
    </row>
    <row r="132" spans="1:5">
      <c r="A132" s="55">
        <v>131</v>
      </c>
      <c r="C132" s="58" t="s">
        <v>100</v>
      </c>
      <c r="D132">
        <v>131</v>
      </c>
      <c r="E132" s="58" t="s">
        <v>101</v>
      </c>
    </row>
    <row r="133" spans="1:5">
      <c r="A133" s="55">
        <v>132</v>
      </c>
      <c r="C133" s="58" t="s">
        <v>100</v>
      </c>
      <c r="D133">
        <v>132</v>
      </c>
      <c r="E133" s="58" t="s">
        <v>101</v>
      </c>
    </row>
    <row r="134" spans="1:5">
      <c r="A134" s="55">
        <v>133</v>
      </c>
      <c r="C134" s="58" t="s">
        <v>100</v>
      </c>
      <c r="D134">
        <v>133</v>
      </c>
      <c r="E134" s="58" t="s">
        <v>101</v>
      </c>
    </row>
    <row r="135" spans="1:5">
      <c r="A135" s="55">
        <v>134</v>
      </c>
      <c r="C135" s="58" t="s">
        <v>100</v>
      </c>
      <c r="D135">
        <v>134</v>
      </c>
      <c r="E135" s="58" t="s">
        <v>101</v>
      </c>
    </row>
    <row r="136" spans="1:5">
      <c r="A136" s="55">
        <v>135</v>
      </c>
      <c r="C136" s="58" t="s">
        <v>100</v>
      </c>
      <c r="D136">
        <v>135</v>
      </c>
      <c r="E136" s="58" t="s">
        <v>101</v>
      </c>
    </row>
    <row r="137" spans="1:5">
      <c r="A137" s="55">
        <v>136</v>
      </c>
      <c r="C137" s="58" t="s">
        <v>100</v>
      </c>
      <c r="D137">
        <v>136</v>
      </c>
      <c r="E137" s="58" t="s">
        <v>101</v>
      </c>
    </row>
    <row r="138" spans="1:5">
      <c r="A138" s="55">
        <v>137</v>
      </c>
      <c r="C138" s="58" t="s">
        <v>100</v>
      </c>
      <c r="D138">
        <v>137</v>
      </c>
      <c r="E138" s="58" t="s">
        <v>101</v>
      </c>
    </row>
    <row r="139" spans="1:5">
      <c r="A139" s="55">
        <v>138</v>
      </c>
      <c r="C139" s="58" t="s">
        <v>100</v>
      </c>
      <c r="D139">
        <v>138</v>
      </c>
      <c r="E139" s="58" t="s">
        <v>101</v>
      </c>
    </row>
    <row r="140" spans="1:5">
      <c r="A140" s="55">
        <v>139</v>
      </c>
      <c r="C140" s="58" t="s">
        <v>100</v>
      </c>
      <c r="D140">
        <v>139</v>
      </c>
      <c r="E140" s="58" t="s">
        <v>101</v>
      </c>
    </row>
    <row r="141" spans="1:5">
      <c r="A141" s="55">
        <v>140</v>
      </c>
      <c r="C141" s="58" t="s">
        <v>100</v>
      </c>
      <c r="D141">
        <v>140</v>
      </c>
      <c r="E141" s="58" t="s">
        <v>101</v>
      </c>
    </row>
    <row r="142" spans="1:5">
      <c r="A142" s="55">
        <v>141</v>
      </c>
      <c r="C142" s="58" t="s">
        <v>100</v>
      </c>
      <c r="D142">
        <v>141</v>
      </c>
      <c r="E142" s="58" t="s">
        <v>101</v>
      </c>
    </row>
    <row r="143" spans="1:5">
      <c r="A143" s="55">
        <v>142</v>
      </c>
      <c r="C143" s="58" t="s">
        <v>100</v>
      </c>
      <c r="D143">
        <v>142</v>
      </c>
      <c r="E143" s="58" t="s">
        <v>101</v>
      </c>
    </row>
    <row r="144" spans="1:5">
      <c r="A144" s="55">
        <v>143</v>
      </c>
      <c r="C144" s="58" t="s">
        <v>100</v>
      </c>
      <c r="D144">
        <v>143</v>
      </c>
      <c r="E144" s="58" t="s">
        <v>101</v>
      </c>
    </row>
    <row r="145" spans="1:5">
      <c r="A145" s="55">
        <v>144</v>
      </c>
      <c r="C145" s="58" t="s">
        <v>100</v>
      </c>
      <c r="D145">
        <v>144</v>
      </c>
      <c r="E145" s="58" t="s">
        <v>101</v>
      </c>
    </row>
    <row r="146" spans="1:5">
      <c r="A146" s="55">
        <v>145</v>
      </c>
      <c r="C146" s="58" t="s">
        <v>100</v>
      </c>
      <c r="D146">
        <v>145</v>
      </c>
      <c r="E146" s="58" t="s">
        <v>101</v>
      </c>
    </row>
    <row r="147" spans="1:5">
      <c r="A147" s="55">
        <v>146</v>
      </c>
      <c r="C147" s="58" t="s">
        <v>100</v>
      </c>
      <c r="D147">
        <v>146</v>
      </c>
      <c r="E147" s="58" t="s">
        <v>101</v>
      </c>
    </row>
    <row r="148" spans="1:5">
      <c r="A148" s="55">
        <v>147</v>
      </c>
      <c r="C148" s="58" t="s">
        <v>100</v>
      </c>
      <c r="D148">
        <v>147</v>
      </c>
      <c r="E148" s="58" t="s">
        <v>101</v>
      </c>
    </row>
    <row r="149" spans="1:5">
      <c r="A149" s="55">
        <v>148</v>
      </c>
      <c r="C149" s="58" t="s">
        <v>100</v>
      </c>
      <c r="D149">
        <v>148</v>
      </c>
      <c r="E149" s="58" t="s">
        <v>101</v>
      </c>
    </row>
    <row r="150" spans="1:5">
      <c r="A150" s="55">
        <v>149</v>
      </c>
      <c r="C150" s="58" t="s">
        <v>100</v>
      </c>
      <c r="D150">
        <v>149</v>
      </c>
      <c r="E150" s="58" t="s">
        <v>101</v>
      </c>
    </row>
    <row r="151" spans="1:5">
      <c r="A151" s="55">
        <v>150</v>
      </c>
      <c r="C151" s="58" t="s">
        <v>100</v>
      </c>
      <c r="D151">
        <v>150</v>
      </c>
      <c r="E151" s="58" t="s">
        <v>101</v>
      </c>
    </row>
    <row r="152" spans="1:5">
      <c r="A152" s="55">
        <v>151</v>
      </c>
      <c r="C152" s="58" t="s">
        <v>100</v>
      </c>
      <c r="D152">
        <v>151</v>
      </c>
      <c r="E152" s="58" t="s">
        <v>101</v>
      </c>
    </row>
    <row r="153" spans="1:5">
      <c r="A153" s="55">
        <v>152</v>
      </c>
      <c r="C153" s="58" t="s">
        <v>100</v>
      </c>
      <c r="D153">
        <v>152</v>
      </c>
      <c r="E153" s="58" t="s">
        <v>101</v>
      </c>
    </row>
    <row r="154" spans="1:5">
      <c r="A154" s="55">
        <v>153</v>
      </c>
      <c r="C154" s="58" t="s">
        <v>100</v>
      </c>
      <c r="D154">
        <v>153</v>
      </c>
      <c r="E154" s="58" t="s">
        <v>101</v>
      </c>
    </row>
    <row r="155" spans="1:5">
      <c r="A155" s="55">
        <v>154</v>
      </c>
      <c r="C155" s="58" t="s">
        <v>100</v>
      </c>
      <c r="D155">
        <v>154</v>
      </c>
      <c r="E155" s="58" t="s">
        <v>101</v>
      </c>
    </row>
    <row r="156" spans="1:5">
      <c r="A156" s="55">
        <v>155</v>
      </c>
      <c r="C156" s="58" t="s">
        <v>100</v>
      </c>
      <c r="D156">
        <v>155</v>
      </c>
      <c r="E156" s="58" t="s">
        <v>101</v>
      </c>
    </row>
    <row r="157" spans="1:5">
      <c r="A157" s="55">
        <v>156</v>
      </c>
      <c r="C157" s="58" t="s">
        <v>100</v>
      </c>
      <c r="D157">
        <v>156</v>
      </c>
      <c r="E157" s="58" t="s">
        <v>101</v>
      </c>
    </row>
    <row r="158" spans="1:5">
      <c r="A158" s="55">
        <v>157</v>
      </c>
      <c r="C158" s="58" t="s">
        <v>100</v>
      </c>
      <c r="D158">
        <v>157</v>
      </c>
      <c r="E158" s="58" t="s">
        <v>101</v>
      </c>
    </row>
    <row r="159" spans="1:5">
      <c r="A159" s="55">
        <v>158</v>
      </c>
      <c r="C159" s="58" t="s">
        <v>100</v>
      </c>
      <c r="D159">
        <v>158</v>
      </c>
      <c r="E159" s="58" t="s">
        <v>101</v>
      </c>
    </row>
    <row r="160" spans="1:5">
      <c r="A160" s="55">
        <v>159</v>
      </c>
      <c r="C160" s="58" t="s">
        <v>100</v>
      </c>
      <c r="D160">
        <v>159</v>
      </c>
      <c r="E160" s="58" t="s">
        <v>101</v>
      </c>
    </row>
    <row r="161" spans="1:5">
      <c r="A161" s="55">
        <v>160</v>
      </c>
      <c r="C161" s="58" t="s">
        <v>100</v>
      </c>
      <c r="D161">
        <v>160</v>
      </c>
      <c r="E161" s="58" t="s">
        <v>101</v>
      </c>
    </row>
    <row r="162" spans="1:5">
      <c r="A162" s="55">
        <v>161</v>
      </c>
      <c r="C162" s="58" t="s">
        <v>100</v>
      </c>
      <c r="D162">
        <v>161</v>
      </c>
      <c r="E162" s="58" t="s">
        <v>101</v>
      </c>
    </row>
    <row r="163" spans="1:5">
      <c r="A163" s="55">
        <v>162</v>
      </c>
      <c r="C163" s="58" t="s">
        <v>100</v>
      </c>
      <c r="D163">
        <v>162</v>
      </c>
      <c r="E163" s="58" t="s">
        <v>101</v>
      </c>
    </row>
    <row r="164" spans="1:5">
      <c r="A164" s="55">
        <v>163</v>
      </c>
      <c r="C164" s="58" t="s">
        <v>100</v>
      </c>
      <c r="D164">
        <v>163</v>
      </c>
      <c r="E164" s="58" t="s">
        <v>101</v>
      </c>
    </row>
    <row r="165" spans="1:5">
      <c r="A165" s="55">
        <v>164</v>
      </c>
      <c r="C165" s="58" t="s">
        <v>100</v>
      </c>
      <c r="D165">
        <v>164</v>
      </c>
      <c r="E165" s="58" t="s">
        <v>101</v>
      </c>
    </row>
    <row r="166" spans="1:5">
      <c r="A166" s="55">
        <v>165</v>
      </c>
      <c r="C166" s="58" t="s">
        <v>100</v>
      </c>
      <c r="D166">
        <v>165</v>
      </c>
      <c r="E166" s="58" t="s">
        <v>101</v>
      </c>
    </row>
    <row r="167" spans="1:5">
      <c r="A167" s="55">
        <v>166</v>
      </c>
      <c r="C167" s="58" t="s">
        <v>100</v>
      </c>
      <c r="D167">
        <v>166</v>
      </c>
      <c r="E167" s="58" t="s">
        <v>101</v>
      </c>
    </row>
    <row r="168" spans="1:5">
      <c r="A168" s="55">
        <v>167</v>
      </c>
      <c r="C168" s="58" t="s">
        <v>100</v>
      </c>
      <c r="D168">
        <v>167</v>
      </c>
      <c r="E168" s="58" t="s">
        <v>101</v>
      </c>
    </row>
    <row r="169" spans="1:5">
      <c r="A169" s="55">
        <v>168</v>
      </c>
      <c r="C169" s="58" t="s">
        <v>100</v>
      </c>
      <c r="D169">
        <v>168</v>
      </c>
      <c r="E169" s="58" t="s">
        <v>101</v>
      </c>
    </row>
    <row r="170" spans="1:5">
      <c r="A170" s="55">
        <v>169</v>
      </c>
      <c r="C170" s="58" t="s">
        <v>100</v>
      </c>
      <c r="D170">
        <v>169</v>
      </c>
      <c r="E170" s="58" t="s">
        <v>101</v>
      </c>
    </row>
    <row r="171" spans="1:5">
      <c r="A171" s="55">
        <v>170</v>
      </c>
      <c r="C171" s="58" t="s">
        <v>100</v>
      </c>
      <c r="D171">
        <v>170</v>
      </c>
      <c r="E171" s="58" t="s">
        <v>101</v>
      </c>
    </row>
    <row r="172" spans="1:5">
      <c r="A172" s="55">
        <v>171</v>
      </c>
      <c r="C172" s="58" t="s">
        <v>100</v>
      </c>
      <c r="D172">
        <v>171</v>
      </c>
      <c r="E172" s="58" t="s">
        <v>101</v>
      </c>
    </row>
    <row r="173" spans="1:5">
      <c r="A173" s="55">
        <v>172</v>
      </c>
      <c r="C173" s="58" t="s">
        <v>100</v>
      </c>
      <c r="D173">
        <v>172</v>
      </c>
      <c r="E173" s="58" t="s">
        <v>101</v>
      </c>
    </row>
    <row r="174" spans="1:5">
      <c r="A174" s="55">
        <v>173</v>
      </c>
      <c r="C174" s="58" t="s">
        <v>100</v>
      </c>
      <c r="D174">
        <v>173</v>
      </c>
      <c r="E174" s="58" t="s">
        <v>101</v>
      </c>
    </row>
    <row r="175" spans="1:5">
      <c r="A175" s="55">
        <v>174</v>
      </c>
      <c r="C175" s="58" t="s">
        <v>100</v>
      </c>
      <c r="D175">
        <v>174</v>
      </c>
      <c r="E175" s="58" t="s">
        <v>101</v>
      </c>
    </row>
    <row r="176" spans="1:5">
      <c r="A176" s="55">
        <v>175</v>
      </c>
      <c r="C176" s="58" t="s">
        <v>100</v>
      </c>
      <c r="D176">
        <v>175</v>
      </c>
      <c r="E176" s="58" t="s">
        <v>101</v>
      </c>
    </row>
    <row r="177" spans="1:5">
      <c r="A177" s="55">
        <v>176</v>
      </c>
      <c r="C177" s="58" t="s">
        <v>100</v>
      </c>
      <c r="D177">
        <v>176</v>
      </c>
      <c r="E177" s="58" t="s">
        <v>101</v>
      </c>
    </row>
    <row r="178" spans="1:5">
      <c r="A178" s="55">
        <v>177</v>
      </c>
      <c r="C178" s="58" t="s">
        <v>100</v>
      </c>
      <c r="D178">
        <v>177</v>
      </c>
      <c r="E178" s="58" t="s">
        <v>101</v>
      </c>
    </row>
    <row r="179" spans="1:5">
      <c r="A179" s="55">
        <v>178</v>
      </c>
      <c r="C179" s="58" t="s">
        <v>100</v>
      </c>
      <c r="D179">
        <v>178</v>
      </c>
      <c r="E179" s="58" t="s">
        <v>101</v>
      </c>
    </row>
    <row r="180" spans="1:5">
      <c r="A180" s="55">
        <v>179</v>
      </c>
      <c r="C180" s="58" t="s">
        <v>100</v>
      </c>
      <c r="D180">
        <v>179</v>
      </c>
      <c r="E180" s="58" t="s">
        <v>101</v>
      </c>
    </row>
    <row r="181" spans="1:5">
      <c r="A181" s="55">
        <v>180</v>
      </c>
      <c r="C181" s="58" t="s">
        <v>100</v>
      </c>
      <c r="D181">
        <v>180</v>
      </c>
      <c r="E181" s="58" t="s">
        <v>101</v>
      </c>
    </row>
    <row r="182" spans="1:5">
      <c r="A182" s="55">
        <v>181</v>
      </c>
      <c r="C182" s="58" t="s">
        <v>100</v>
      </c>
      <c r="D182">
        <v>181</v>
      </c>
      <c r="E182" s="58" t="s">
        <v>101</v>
      </c>
    </row>
    <row r="183" spans="1:5">
      <c r="A183" s="55">
        <v>182</v>
      </c>
      <c r="C183" s="58" t="s">
        <v>100</v>
      </c>
      <c r="D183">
        <v>182</v>
      </c>
      <c r="E183" s="58" t="s">
        <v>101</v>
      </c>
    </row>
    <row r="184" spans="1:5">
      <c r="A184" s="55">
        <v>183</v>
      </c>
      <c r="C184" s="58" t="s">
        <v>100</v>
      </c>
      <c r="D184">
        <v>183</v>
      </c>
      <c r="E184" s="58" t="s">
        <v>101</v>
      </c>
    </row>
    <row r="185" spans="1:5">
      <c r="A185" s="55">
        <v>184</v>
      </c>
      <c r="C185" s="58" t="s">
        <v>100</v>
      </c>
      <c r="D185">
        <v>184</v>
      </c>
      <c r="E185" s="58" t="s">
        <v>101</v>
      </c>
    </row>
    <row r="186" spans="1:5">
      <c r="A186" s="55">
        <v>185</v>
      </c>
      <c r="C186" s="58" t="s">
        <v>100</v>
      </c>
      <c r="D186">
        <v>185</v>
      </c>
      <c r="E186" s="58" t="s">
        <v>101</v>
      </c>
    </row>
    <row r="187" spans="1:5">
      <c r="A187" s="55">
        <v>186</v>
      </c>
      <c r="C187" s="58" t="s">
        <v>100</v>
      </c>
      <c r="D187">
        <v>186</v>
      </c>
      <c r="E187" s="58" t="s">
        <v>101</v>
      </c>
    </row>
    <row r="188" spans="1:5">
      <c r="A188" s="55">
        <v>187</v>
      </c>
      <c r="C188" s="58" t="s">
        <v>100</v>
      </c>
      <c r="D188">
        <v>187</v>
      </c>
      <c r="E188" s="58" t="s">
        <v>101</v>
      </c>
    </row>
    <row r="189" spans="1:5">
      <c r="A189" s="55">
        <v>188</v>
      </c>
      <c r="C189" s="58" t="s">
        <v>100</v>
      </c>
      <c r="D189">
        <v>188</v>
      </c>
      <c r="E189" s="58" t="s">
        <v>101</v>
      </c>
    </row>
    <row r="190" spans="1:5">
      <c r="A190" s="55">
        <v>189</v>
      </c>
      <c r="C190" s="58" t="s">
        <v>100</v>
      </c>
      <c r="D190">
        <v>189</v>
      </c>
      <c r="E190" s="58" t="s">
        <v>101</v>
      </c>
    </row>
    <row r="191" spans="1:5">
      <c r="A191" s="55">
        <v>190</v>
      </c>
      <c r="C191" s="58" t="s">
        <v>100</v>
      </c>
      <c r="D191">
        <v>190</v>
      </c>
      <c r="E191" s="58" t="s">
        <v>101</v>
      </c>
    </row>
    <row r="192" spans="1:5">
      <c r="A192" s="55">
        <v>191</v>
      </c>
      <c r="C192" s="58" t="s">
        <v>100</v>
      </c>
      <c r="D192">
        <v>191</v>
      </c>
      <c r="E192" s="58" t="s">
        <v>101</v>
      </c>
    </row>
    <row r="193" spans="1:5">
      <c r="A193" s="55">
        <v>192</v>
      </c>
      <c r="C193" s="58" t="s">
        <v>100</v>
      </c>
      <c r="D193">
        <v>192</v>
      </c>
      <c r="E193" s="58" t="s">
        <v>101</v>
      </c>
    </row>
    <row r="194" spans="1:5">
      <c r="A194" s="55">
        <v>193</v>
      </c>
      <c r="C194" s="58" t="s">
        <v>100</v>
      </c>
      <c r="D194">
        <v>193</v>
      </c>
      <c r="E194" s="58" t="s">
        <v>101</v>
      </c>
    </row>
    <row r="195" spans="1:5">
      <c r="A195" s="55">
        <v>194</v>
      </c>
      <c r="C195" s="58" t="s">
        <v>100</v>
      </c>
      <c r="D195">
        <v>194</v>
      </c>
      <c r="E195" s="58" t="s">
        <v>101</v>
      </c>
    </row>
    <row r="196" spans="1:5">
      <c r="A196" s="55">
        <v>195</v>
      </c>
      <c r="C196" s="58" t="s">
        <v>100</v>
      </c>
      <c r="D196">
        <v>195</v>
      </c>
      <c r="E196" s="58" t="s">
        <v>101</v>
      </c>
    </row>
    <row r="197" spans="1:5">
      <c r="A197" s="55">
        <v>196</v>
      </c>
      <c r="C197" s="58" t="s">
        <v>100</v>
      </c>
      <c r="D197">
        <v>196</v>
      </c>
      <c r="E197" s="58" t="s">
        <v>101</v>
      </c>
    </row>
    <row r="198" spans="1:5">
      <c r="A198" s="55">
        <v>197</v>
      </c>
      <c r="C198" s="58" t="s">
        <v>100</v>
      </c>
      <c r="D198">
        <v>197</v>
      </c>
      <c r="E198" s="58" t="s">
        <v>101</v>
      </c>
    </row>
    <row r="199" spans="1:5">
      <c r="A199" s="55">
        <v>198</v>
      </c>
      <c r="C199" s="58" t="s">
        <v>100</v>
      </c>
      <c r="D199">
        <v>198</v>
      </c>
      <c r="E199" s="58" t="s">
        <v>101</v>
      </c>
    </row>
    <row r="200" spans="1:5">
      <c r="A200" s="55">
        <v>199</v>
      </c>
      <c r="C200" s="58" t="s">
        <v>100</v>
      </c>
      <c r="D200">
        <v>199</v>
      </c>
      <c r="E200" s="58" t="s">
        <v>101</v>
      </c>
    </row>
    <row r="201" spans="1:5">
      <c r="A201" s="55">
        <v>200</v>
      </c>
      <c r="C201" s="58" t="s">
        <v>100</v>
      </c>
      <c r="D201">
        <v>200</v>
      </c>
      <c r="E201" s="58" t="s">
        <v>101</v>
      </c>
    </row>
    <row r="202" spans="1:5">
      <c r="A202" s="55">
        <v>201</v>
      </c>
      <c r="C202" s="58" t="s">
        <v>100</v>
      </c>
      <c r="D202">
        <v>201</v>
      </c>
      <c r="E202" s="58" t="s">
        <v>101</v>
      </c>
    </row>
    <row r="203" spans="1:5">
      <c r="A203" s="55">
        <v>202</v>
      </c>
      <c r="C203" s="58" t="s">
        <v>100</v>
      </c>
      <c r="D203">
        <v>202</v>
      </c>
      <c r="E203" s="58" t="s">
        <v>101</v>
      </c>
    </row>
    <row r="204" spans="1:5">
      <c r="A204" s="55">
        <v>203</v>
      </c>
      <c r="C204" s="58" t="s">
        <v>100</v>
      </c>
      <c r="D204">
        <v>203</v>
      </c>
      <c r="E204" s="58" t="s">
        <v>101</v>
      </c>
    </row>
    <row r="205" spans="1:5">
      <c r="A205" s="55">
        <v>204</v>
      </c>
      <c r="C205" s="58" t="s">
        <v>100</v>
      </c>
      <c r="D205">
        <v>204</v>
      </c>
      <c r="E205" s="58" t="s">
        <v>101</v>
      </c>
    </row>
    <row r="206" spans="1:5">
      <c r="A206" s="55">
        <v>205</v>
      </c>
      <c r="C206" s="58" t="s">
        <v>100</v>
      </c>
      <c r="D206">
        <v>205</v>
      </c>
      <c r="E206" s="58" t="s">
        <v>101</v>
      </c>
    </row>
    <row r="207" spans="1:5">
      <c r="A207" s="55">
        <v>206</v>
      </c>
      <c r="C207" s="58" t="s">
        <v>100</v>
      </c>
      <c r="D207">
        <v>206</v>
      </c>
      <c r="E207" s="58" t="s">
        <v>101</v>
      </c>
    </row>
    <row r="208" spans="1:5">
      <c r="A208" s="55">
        <v>207</v>
      </c>
      <c r="C208" s="58" t="s">
        <v>100</v>
      </c>
      <c r="D208">
        <v>207</v>
      </c>
      <c r="E208" s="58" t="s">
        <v>101</v>
      </c>
    </row>
    <row r="209" spans="1:5">
      <c r="A209" s="55">
        <v>208</v>
      </c>
      <c r="C209" s="58" t="s">
        <v>100</v>
      </c>
      <c r="D209">
        <v>208</v>
      </c>
      <c r="E209" s="58" t="s">
        <v>101</v>
      </c>
    </row>
    <row r="210" spans="1:5">
      <c r="A210" s="55">
        <v>209</v>
      </c>
      <c r="C210" s="58" t="s">
        <v>100</v>
      </c>
      <c r="D210">
        <v>209</v>
      </c>
      <c r="E210" s="58" t="s">
        <v>101</v>
      </c>
    </row>
    <row r="211" spans="1:5">
      <c r="A211" s="55">
        <v>210</v>
      </c>
      <c r="C211" s="58" t="s">
        <v>100</v>
      </c>
      <c r="D211">
        <v>210</v>
      </c>
      <c r="E211" s="58" t="s">
        <v>101</v>
      </c>
    </row>
    <row r="212" spans="1:5">
      <c r="A212" s="55">
        <v>211</v>
      </c>
      <c r="C212" s="58" t="s">
        <v>100</v>
      </c>
      <c r="D212">
        <v>211</v>
      </c>
      <c r="E212" s="58" t="s">
        <v>101</v>
      </c>
    </row>
    <row r="213" spans="1:5">
      <c r="A213" s="55">
        <v>212</v>
      </c>
      <c r="C213" s="58" t="s">
        <v>100</v>
      </c>
      <c r="D213">
        <v>212</v>
      </c>
      <c r="E213" s="58" t="s">
        <v>101</v>
      </c>
    </row>
    <row r="214" spans="1:5">
      <c r="A214" s="55">
        <v>213</v>
      </c>
      <c r="C214" s="58" t="s">
        <v>100</v>
      </c>
      <c r="D214">
        <v>213</v>
      </c>
      <c r="E214" s="58" t="s">
        <v>101</v>
      </c>
    </row>
    <row r="215" spans="1:5">
      <c r="A215" s="55">
        <v>214</v>
      </c>
      <c r="C215" s="58" t="s">
        <v>100</v>
      </c>
      <c r="D215">
        <v>214</v>
      </c>
      <c r="E215" s="58" t="s">
        <v>101</v>
      </c>
    </row>
    <row r="216" spans="1:5">
      <c r="A216" s="55">
        <v>215</v>
      </c>
      <c r="C216" s="58" t="s">
        <v>100</v>
      </c>
      <c r="D216">
        <v>215</v>
      </c>
      <c r="E216" s="58" t="s">
        <v>101</v>
      </c>
    </row>
    <row r="217" spans="1:5">
      <c r="A217" s="55">
        <v>216</v>
      </c>
      <c r="C217" s="58" t="s">
        <v>100</v>
      </c>
      <c r="D217">
        <v>216</v>
      </c>
      <c r="E217" s="58" t="s">
        <v>101</v>
      </c>
    </row>
    <row r="218" spans="1:5">
      <c r="A218" s="55">
        <v>217</v>
      </c>
      <c r="C218" s="58" t="s">
        <v>100</v>
      </c>
      <c r="D218">
        <v>217</v>
      </c>
      <c r="E218" s="58" t="s">
        <v>101</v>
      </c>
    </row>
    <row r="219" spans="1:5">
      <c r="A219" s="55">
        <v>218</v>
      </c>
      <c r="C219" s="58" t="s">
        <v>100</v>
      </c>
      <c r="D219">
        <v>218</v>
      </c>
      <c r="E219" s="58" t="s">
        <v>101</v>
      </c>
    </row>
    <row r="220" spans="1:5">
      <c r="A220" s="55">
        <v>219</v>
      </c>
      <c r="C220" s="58" t="s">
        <v>100</v>
      </c>
      <c r="D220">
        <v>219</v>
      </c>
      <c r="E220" s="58" t="s">
        <v>101</v>
      </c>
    </row>
    <row r="221" spans="1:5">
      <c r="A221" s="55">
        <v>220</v>
      </c>
      <c r="C221" s="58" t="s">
        <v>100</v>
      </c>
      <c r="D221">
        <v>220</v>
      </c>
      <c r="E221" s="58" t="s">
        <v>101</v>
      </c>
    </row>
    <row r="222" spans="1:5">
      <c r="A222" s="55">
        <v>221</v>
      </c>
      <c r="C222" s="58" t="s">
        <v>100</v>
      </c>
      <c r="D222">
        <v>221</v>
      </c>
      <c r="E222" s="58" t="s">
        <v>101</v>
      </c>
    </row>
    <row r="223" spans="1:5">
      <c r="A223" s="55">
        <v>222</v>
      </c>
      <c r="C223" s="58" t="s">
        <v>100</v>
      </c>
      <c r="D223">
        <v>222</v>
      </c>
      <c r="E223" s="58" t="s">
        <v>101</v>
      </c>
    </row>
    <row r="224" spans="1:5">
      <c r="A224" s="55">
        <v>223</v>
      </c>
      <c r="C224" s="58" t="s">
        <v>100</v>
      </c>
      <c r="D224">
        <v>223</v>
      </c>
      <c r="E224" s="58" t="s">
        <v>101</v>
      </c>
    </row>
    <row r="225" spans="1:5">
      <c r="A225" s="55">
        <v>224</v>
      </c>
      <c r="C225" s="58" t="s">
        <v>100</v>
      </c>
      <c r="D225">
        <v>224</v>
      </c>
      <c r="E225" s="58" t="s">
        <v>101</v>
      </c>
    </row>
    <row r="226" spans="1:5">
      <c r="A226" s="55">
        <v>225</v>
      </c>
      <c r="C226" s="58" t="s">
        <v>100</v>
      </c>
      <c r="D226">
        <v>225</v>
      </c>
      <c r="E226" s="58" t="s">
        <v>101</v>
      </c>
    </row>
    <row r="227" spans="1:5">
      <c r="A227" s="55">
        <v>226</v>
      </c>
      <c r="C227" s="58" t="s">
        <v>100</v>
      </c>
      <c r="D227">
        <v>226</v>
      </c>
      <c r="E227" s="58" t="s">
        <v>101</v>
      </c>
    </row>
    <row r="228" spans="1:5">
      <c r="A228" s="55">
        <v>227</v>
      </c>
      <c r="C228" s="58" t="s">
        <v>100</v>
      </c>
      <c r="D228">
        <v>227</v>
      </c>
      <c r="E228" s="58" t="s">
        <v>101</v>
      </c>
    </row>
    <row r="229" spans="1:5">
      <c r="A229" s="55">
        <v>228</v>
      </c>
      <c r="C229" s="58" t="s">
        <v>100</v>
      </c>
      <c r="D229">
        <v>228</v>
      </c>
      <c r="E229" s="58" t="s">
        <v>101</v>
      </c>
    </row>
    <row r="230" spans="1:5">
      <c r="A230" s="55">
        <v>229</v>
      </c>
      <c r="C230" s="58" t="s">
        <v>100</v>
      </c>
      <c r="D230">
        <v>229</v>
      </c>
      <c r="E230" s="58" t="s">
        <v>101</v>
      </c>
    </row>
    <row r="231" spans="1:5">
      <c r="A231" s="55">
        <v>230</v>
      </c>
      <c r="C231" s="58" t="s">
        <v>100</v>
      </c>
      <c r="D231">
        <v>230</v>
      </c>
      <c r="E231" s="58" t="s">
        <v>101</v>
      </c>
    </row>
    <row r="232" spans="1:5">
      <c r="A232" s="55">
        <v>231</v>
      </c>
      <c r="C232" s="58" t="s">
        <v>100</v>
      </c>
      <c r="D232">
        <v>231</v>
      </c>
      <c r="E232" s="58" t="s">
        <v>101</v>
      </c>
    </row>
    <row r="233" spans="1:5">
      <c r="A233" s="55">
        <v>232</v>
      </c>
      <c r="C233" s="58" t="s">
        <v>100</v>
      </c>
      <c r="D233">
        <v>232</v>
      </c>
      <c r="E233" s="58" t="s">
        <v>101</v>
      </c>
    </row>
    <row r="234" spans="1:5">
      <c r="A234" s="55">
        <v>233</v>
      </c>
      <c r="C234" s="58" t="s">
        <v>100</v>
      </c>
      <c r="D234">
        <v>233</v>
      </c>
      <c r="E234" s="58" t="s">
        <v>101</v>
      </c>
    </row>
    <row r="235" spans="1:5">
      <c r="A235" s="55">
        <v>234</v>
      </c>
      <c r="C235" s="58" t="s">
        <v>100</v>
      </c>
      <c r="D235">
        <v>234</v>
      </c>
      <c r="E235" s="58" t="s">
        <v>101</v>
      </c>
    </row>
    <row r="236" spans="1:5">
      <c r="A236" s="55">
        <v>235</v>
      </c>
      <c r="C236" s="58" t="s">
        <v>100</v>
      </c>
      <c r="D236">
        <v>235</v>
      </c>
      <c r="E236" s="58" t="s">
        <v>101</v>
      </c>
    </row>
    <row r="237" spans="1:5">
      <c r="A237" s="55">
        <v>236</v>
      </c>
      <c r="C237" s="58" t="s">
        <v>100</v>
      </c>
      <c r="D237">
        <v>236</v>
      </c>
      <c r="E237" s="58" t="s">
        <v>101</v>
      </c>
    </row>
    <row r="238" spans="1:5">
      <c r="A238" s="55">
        <v>237</v>
      </c>
      <c r="C238" s="58" t="s">
        <v>100</v>
      </c>
      <c r="D238">
        <v>237</v>
      </c>
      <c r="E238" s="58" t="s">
        <v>101</v>
      </c>
    </row>
    <row r="239" spans="1:5">
      <c r="A239" s="55">
        <v>238</v>
      </c>
      <c r="C239" s="58" t="s">
        <v>100</v>
      </c>
      <c r="D239">
        <v>238</v>
      </c>
      <c r="E239" s="58" t="s">
        <v>101</v>
      </c>
    </row>
    <row r="240" spans="1:5">
      <c r="A240" s="55">
        <v>239</v>
      </c>
      <c r="C240" s="58" t="s">
        <v>100</v>
      </c>
      <c r="D240">
        <v>239</v>
      </c>
      <c r="E240" s="58" t="s">
        <v>101</v>
      </c>
    </row>
    <row r="241" spans="1:5">
      <c r="A241" s="55">
        <v>240</v>
      </c>
      <c r="C241" s="58" t="s">
        <v>100</v>
      </c>
      <c r="D241">
        <v>240</v>
      </c>
      <c r="E241" s="58" t="s">
        <v>101</v>
      </c>
    </row>
    <row r="242" spans="1:5">
      <c r="A242" s="55">
        <v>241</v>
      </c>
      <c r="C242" s="58" t="s">
        <v>100</v>
      </c>
      <c r="D242">
        <v>241</v>
      </c>
      <c r="E242" s="58" t="s">
        <v>101</v>
      </c>
    </row>
    <row r="243" spans="1:5">
      <c r="A243" s="55">
        <v>242</v>
      </c>
      <c r="C243" s="58" t="s">
        <v>100</v>
      </c>
      <c r="D243">
        <v>242</v>
      </c>
      <c r="E243" s="58" t="s">
        <v>101</v>
      </c>
    </row>
    <row r="244" spans="1:5">
      <c r="A244" s="55">
        <v>243</v>
      </c>
      <c r="C244" s="58" t="s">
        <v>100</v>
      </c>
      <c r="D244">
        <v>243</v>
      </c>
      <c r="E244" s="58" t="s">
        <v>101</v>
      </c>
    </row>
    <row r="245" spans="1:5">
      <c r="A245" s="55">
        <v>244</v>
      </c>
      <c r="C245" s="58" t="s">
        <v>100</v>
      </c>
      <c r="D245">
        <v>244</v>
      </c>
      <c r="E245" s="58" t="s">
        <v>101</v>
      </c>
    </row>
    <row r="246" spans="1:5">
      <c r="A246" s="55">
        <v>245</v>
      </c>
      <c r="C246" s="58" t="s">
        <v>100</v>
      </c>
      <c r="D246">
        <v>245</v>
      </c>
      <c r="E246" s="58" t="s">
        <v>101</v>
      </c>
    </row>
    <row r="247" spans="1:5">
      <c r="A247" s="55">
        <v>246</v>
      </c>
      <c r="C247" s="58" t="s">
        <v>100</v>
      </c>
      <c r="D247">
        <v>246</v>
      </c>
      <c r="E247" s="58" t="s">
        <v>101</v>
      </c>
    </row>
    <row r="248" spans="1:5">
      <c r="A248" s="55">
        <v>247</v>
      </c>
      <c r="C248" s="58" t="s">
        <v>100</v>
      </c>
      <c r="D248">
        <v>247</v>
      </c>
      <c r="E248" s="58" t="s">
        <v>101</v>
      </c>
    </row>
    <row r="249" spans="1:5">
      <c r="A249" s="55">
        <v>248</v>
      </c>
      <c r="C249" s="58" t="s">
        <v>100</v>
      </c>
      <c r="D249">
        <v>248</v>
      </c>
      <c r="E249" s="58" t="s">
        <v>101</v>
      </c>
    </row>
    <row r="250" spans="1:5">
      <c r="A250" s="55">
        <v>249</v>
      </c>
      <c r="C250" s="58" t="s">
        <v>100</v>
      </c>
      <c r="D250">
        <v>249</v>
      </c>
      <c r="E250" s="58" t="s">
        <v>101</v>
      </c>
    </row>
    <row r="251" spans="1:5">
      <c r="A251" s="55">
        <v>250</v>
      </c>
      <c r="C251" s="58" t="s">
        <v>100</v>
      </c>
      <c r="D251">
        <v>250</v>
      </c>
      <c r="E251" s="58" t="s">
        <v>101</v>
      </c>
    </row>
    <row r="252" spans="1:5">
      <c r="A252" s="55">
        <v>251</v>
      </c>
      <c r="C252" s="58" t="s">
        <v>100</v>
      </c>
      <c r="D252">
        <v>251</v>
      </c>
      <c r="E252" s="58" t="s">
        <v>101</v>
      </c>
    </row>
    <row r="253" spans="1:5">
      <c r="A253" s="55">
        <v>252</v>
      </c>
      <c r="C253" s="58" t="s">
        <v>100</v>
      </c>
      <c r="D253">
        <v>252</v>
      </c>
      <c r="E253" s="58" t="s">
        <v>101</v>
      </c>
    </row>
    <row r="254" spans="1:5">
      <c r="A254" s="55">
        <v>253</v>
      </c>
      <c r="C254" s="58" t="s">
        <v>100</v>
      </c>
      <c r="D254">
        <v>253</v>
      </c>
      <c r="E254" s="58" t="s">
        <v>101</v>
      </c>
    </row>
    <row r="255" spans="1:5">
      <c r="A255" s="55">
        <v>254</v>
      </c>
      <c r="C255" s="58" t="s">
        <v>100</v>
      </c>
      <c r="D255">
        <v>254</v>
      </c>
      <c r="E255" s="58" t="s">
        <v>101</v>
      </c>
    </row>
    <row r="256" spans="1:5">
      <c r="A256" s="55">
        <v>255</v>
      </c>
      <c r="C256" s="58" t="s">
        <v>100</v>
      </c>
      <c r="D256">
        <v>255</v>
      </c>
      <c r="E256" s="58" t="s">
        <v>101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239A1-E622-4819-A5AE-2E1B52613FC9}">
  <sheetPr codeName="Sheet3"/>
  <dimension ref="A1"/>
  <sheetViews>
    <sheetView workbookViewId="0">
      <selection activeCell="A2" sqref="A2"/>
    </sheetView>
  </sheetViews>
  <sheetFormatPr defaultRowHeight="15"/>
  <sheetData>
    <row r="1" spans="1:1">
      <c r="A1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Revisions</vt:lpstr>
      <vt:lpstr>parameters recipe</vt:lpstr>
      <vt:lpstr>ProcessData</vt:lpstr>
      <vt:lpstr>PhysicalData</vt:lpstr>
      <vt:lpstr>DeviceData</vt:lpstr>
      <vt:lpstr>STATUS enum</vt:lpstr>
      <vt:lpstr>AllData</vt:lpstr>
      <vt:lpstr>DummyModeData</vt:lpstr>
      <vt:lpstr>DosingData</vt:lpstr>
      <vt:lpstr>ConsumableData</vt:lpstr>
      <vt:lpstr>RECIPESTATUS enum</vt:lpstr>
      <vt:lpstr>HOPPERSTATUS enum</vt:lpstr>
      <vt:lpstr>parameters LED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2022-06-29T02:35:40Z</dcterms:created>
  <dcterms:modified xsi:type="dcterms:W3CDTF">2023-01-05T10:30:36Z</dcterms:modified>
</cp:coreProperties>
</file>